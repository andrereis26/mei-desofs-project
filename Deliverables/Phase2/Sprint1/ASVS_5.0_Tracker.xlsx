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Summary" sheetId="1" state="visible" r:id="rId1"/>
    <sheet name="V1 - Encoding and Sanitization" sheetId="2" state="visible" r:id="rId2"/>
    <sheet name="V2 - Validation and Business Lo" sheetId="3" state="visible" r:id="rId3"/>
    <sheet name="V3 - Web Frontend Security" sheetId="4" state="visible" r:id="rId4"/>
    <sheet name="V4 - API and Web Service" sheetId="5" state="visible" r:id="rId5"/>
    <sheet name="V5 - File Handling" sheetId="6" state="visible" r:id="rId6"/>
    <sheet name="V6 - Authentication" sheetId="7" state="visible" r:id="rId7"/>
    <sheet name="V7 - Session Management" sheetId="8" state="visible" r:id="rId8"/>
    <sheet name="V8 - Authorization" sheetId="9" state="visible" r:id="rId9"/>
    <sheet name="V9 - Self-contained Tokens" sheetId="10" state="visible" r:id="rId10"/>
    <sheet name="V10 - OAuth and OIDC" sheetId="11" state="visible" r:id="rId11"/>
    <sheet name="V11 - Cryptography" sheetId="12" state="visible" r:id="rId12"/>
    <sheet name="V12 - Secure Communication" sheetId="13" state="visible" r:id="rId13"/>
    <sheet name="V13 - Configuration" sheetId="14" state="visible" r:id="rId14"/>
    <sheet name="V14 - Data Protection" sheetId="15" state="visible" r:id="rId15"/>
    <sheet name="V15 - Secure Coding and Archite" sheetId="16" state="visible" r:id="rId16"/>
    <sheet name="V16 - Security Logging and Erro" sheetId="17" state="visible" r:id="rId17"/>
    <sheet name="V17 - WebRTC" sheetId="18" state="visible" r:id="rId18"/>
  </sheets>
  <definedNames/>
  <calcPr calcId="124519" fullCalcOnLoad="1" refMode="A1" iterate="0" iterateCount="100" iterateDelta="0.0001"/>
</workbook>
</file>

<file path=xl/styles.xml><?xml version="1.0" encoding="utf-8"?>
<styleSheet xmlns="http://schemas.openxmlformats.org/spreadsheetml/2006/main">
  <numFmts count="0"/>
  <fonts count="14">
    <font>
      <name val="Calibri"/>
      <charset val="1"/>
      <family val="2"/>
      <color rgb="FF000000"/>
      <sz val="11"/>
    </font>
    <font>
      <name val="Arial"/>
      <family val="0"/>
      <sz val="10"/>
    </font>
    <font>
      <name val="Arial"/>
      <family val="0"/>
      <sz val="10"/>
    </font>
    <font>
      <name val="Arial"/>
      <family val="0"/>
      <sz val="10"/>
    </font>
    <font>
      <name val="Cambria"/>
      <charset val="1"/>
      <family val="0"/>
      <b val="1"/>
      <color rgb="FFFFFFFF"/>
      <sz val="16"/>
    </font>
    <font>
      <name val="Cambria"/>
      <charset val="1"/>
      <family val="0"/>
      <i val="1"/>
      <color rgb="FF595959"/>
      <sz val="10"/>
    </font>
    <font>
      <name val="Cambria"/>
      <charset val="1"/>
      <family val="0"/>
      <b val="1"/>
      <sz val="10"/>
    </font>
    <font>
      <name val="Cambria"/>
      <charset val="1"/>
      <family val="0"/>
      <b val="1"/>
      <sz val="9"/>
    </font>
    <font>
      <name val="Cambria"/>
      <charset val="1"/>
      <family val="0"/>
      <b val="1"/>
      <color rgb="FFFFFFFF"/>
      <sz val="9"/>
    </font>
    <font>
      <name val="Cambria"/>
      <charset val="1"/>
      <family val="0"/>
      <sz val="10"/>
    </font>
    <font>
      <name val="Cambria"/>
      <charset val="1"/>
      <family val="0"/>
      <b val="1"/>
      <color rgb="FFFFFFFF"/>
      <sz val="11"/>
    </font>
    <font>
      <name val="Cambria"/>
      <charset val="1"/>
      <family val="0"/>
      <b val="1"/>
      <color rgb="FFFFFFFF"/>
      <sz val="10"/>
    </font>
    <font>
      <name val="Arial"/>
      <family val="2"/>
      <sz val="10"/>
    </font>
    <font>
      <name val="Cambria"/>
      <charset val="1"/>
      <family val="0"/>
      <b val="1"/>
      <color rgb="FF1F3864"/>
      <sz val="10"/>
    </font>
  </fonts>
  <fills count="10">
    <fill>
      <patternFill/>
    </fill>
    <fill>
      <patternFill patternType="gray125"/>
    </fill>
    <fill>
      <patternFill patternType="solid">
        <fgColor rgb="FF1F3864"/>
        <bgColor rgb="FF333333"/>
      </patternFill>
    </fill>
    <fill>
      <patternFill patternType="solid">
        <fgColor rgb="FFFFFFFF"/>
        <bgColor rgb="FFF7FBFF"/>
      </patternFill>
    </fill>
    <fill>
      <patternFill patternType="solid">
        <fgColor rgb="FFF7FBFF"/>
        <bgColor rgb="FFFFFFFF"/>
      </patternFill>
    </fill>
    <fill>
      <patternFill patternType="solid">
        <fgColor rgb="FFD6E4F0"/>
        <bgColor rgb="FFC6EFCE"/>
      </patternFill>
    </fill>
    <fill>
      <patternFill patternType="solid">
        <fgColor rgb="FFFFEB9C"/>
        <bgColor rgb="FFF2F2F2"/>
      </patternFill>
    </fill>
    <fill>
      <patternFill patternType="solid">
        <fgColor rgb="FFF2F2F2"/>
        <bgColor rgb="FFF7FBFF"/>
      </patternFill>
    </fill>
    <fill>
      <patternFill patternType="solid">
        <fgColor rgb="FFC6EFCE"/>
        <bgColor rgb="FFD6E4F0"/>
      </patternFill>
    </fill>
    <fill>
      <patternFill patternType="solid">
        <fgColor rgb="FFFABF8F"/>
        <bgColor rgb="FFFFEB9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5">
    <xf numFmtId="0" fontId="0" fillId="0" borderId="0" applyAlignment="1" pivotButton="0" quotePrefix="0" xfId="0">
      <alignment horizontal="general" vertical="bottom"/>
    </xf>
    <xf numFmtId="0" fontId="4" fillId="2" borderId="0" applyAlignment="1" pivotButton="0" quotePrefix="0" xfId="0">
      <alignment horizontal="center" vertical="center"/>
    </xf>
    <xf numFmtId="0" fontId="5" fillId="0" borderId="0" applyAlignment="1" pivotButton="0" quotePrefix="0" xfId="0">
      <alignment horizontal="center" vertical="center"/>
    </xf>
    <xf numFmtId="0" fontId="6" fillId="0" borderId="0" applyAlignment="1" pivotButton="0" quotePrefix="0" xfId="0">
      <alignment horizontal="general" vertical="bottom"/>
    </xf>
    <xf numFmtId="0" fontId="7" fillId="0" borderId="0" applyAlignment="1" pivotButton="0" quotePrefix="0" xfId="0">
      <alignment horizontal="center" vertical="center"/>
    </xf>
    <xf numFmtId="0" fontId="8" fillId="2" borderId="1" applyAlignment="1" pivotButton="0" quotePrefix="0" xfId="0">
      <alignment horizontal="center" vertical="center" wrapText="1"/>
    </xf>
    <xf numFmtId="0" fontId="9" fillId="3" borderId="1" applyAlignment="1" pivotButton="0" quotePrefix="0" xfId="0">
      <alignment horizontal="left" vertical="center"/>
    </xf>
    <xf numFmtId="0" fontId="9" fillId="3" borderId="1" applyAlignment="1" pivotButton="0" quotePrefix="0" xfId="0">
      <alignment horizontal="center" vertical="center"/>
    </xf>
    <xf numFmtId="9" fontId="9" fillId="3" borderId="1" applyAlignment="1" pivotButton="0" quotePrefix="0" xfId="0">
      <alignment horizontal="center" vertical="center"/>
    </xf>
    <xf numFmtId="0" fontId="9" fillId="4" borderId="1" applyAlignment="1" pivotButton="0" quotePrefix="0" xfId="0">
      <alignment horizontal="left" vertical="center"/>
    </xf>
    <xf numFmtId="0" fontId="9" fillId="4" borderId="1" applyAlignment="1" pivotButton="0" quotePrefix="0" xfId="0">
      <alignment horizontal="center" vertical="center"/>
    </xf>
    <xf numFmtId="9" fontId="9" fillId="4" borderId="1" applyAlignment="1" pivotButton="0" quotePrefix="0" xfId="0">
      <alignment horizontal="center" vertical="center"/>
    </xf>
    <xf numFmtId="0" fontId="10" fillId="2" borderId="1" applyAlignment="1" pivotButton="0" quotePrefix="0" xfId="0">
      <alignment horizontal="general" vertical="bottom"/>
    </xf>
    <xf numFmtId="0" fontId="11" fillId="2" borderId="1" applyAlignment="1" pivotButton="0" quotePrefix="0" xfId="0">
      <alignment horizontal="center" vertical="center"/>
    </xf>
    <xf numFmtId="9" fontId="11" fillId="2" borderId="1" applyAlignment="1" pivotButton="0" quotePrefix="0" xfId="0">
      <alignment horizontal="center" vertical="center"/>
    </xf>
    <xf numFmtId="0" fontId="11" fillId="2" borderId="1" applyAlignment="1" pivotButton="0" quotePrefix="0" xfId="0">
      <alignment horizontal="center" vertical="center" wrapText="1"/>
    </xf>
    <xf numFmtId="0" fontId="13" fillId="5" borderId="1" applyAlignment="1" pivotButton="0" quotePrefix="0" xfId="0">
      <alignment horizontal="left" vertical="center"/>
    </xf>
    <xf numFmtId="0" fontId="0" fillId="3" borderId="1" applyAlignment="1" pivotButton="0" quotePrefix="0" xfId="0">
      <alignment horizontal="general" vertical="bottom"/>
    </xf>
    <xf numFmtId="0" fontId="0" fillId="3" borderId="1" applyAlignment="1" pivotButton="0" quotePrefix="0" xfId="0">
      <alignment horizontal="center" vertical="top"/>
    </xf>
    <xf numFmtId="0" fontId="0" fillId="3" borderId="1" applyAlignment="1" pivotButton="0" quotePrefix="0" xfId="0">
      <alignment horizontal="left" vertical="top" wrapText="1"/>
    </xf>
    <xf numFmtId="0" fontId="6" fillId="6" borderId="1" applyAlignment="1" pivotButton="0" quotePrefix="0" xfId="0">
      <alignment horizontal="center" vertical="top"/>
    </xf>
    <xf numFmtId="0" fontId="0" fillId="7" borderId="1" applyAlignment="1" pivotButton="0" quotePrefix="0" xfId="0">
      <alignment horizontal="center" vertical="top"/>
    </xf>
    <xf numFmtId="0" fontId="0" fillId="4" borderId="1" applyAlignment="1" pivotButton="0" quotePrefix="0" xfId="0">
      <alignment horizontal="general" vertical="bottom"/>
    </xf>
    <xf numFmtId="0" fontId="0" fillId="4" borderId="1" applyAlignment="1" pivotButton="0" quotePrefix="0" xfId="0">
      <alignment horizontal="center" vertical="top"/>
    </xf>
    <xf numFmtId="0" fontId="0" fillId="4" borderId="1" applyAlignment="1" pivotButton="0" quotePrefix="0" xfId="0">
      <alignment horizontal="left" vertical="top" wrapText="1"/>
    </xf>
    <xf numFmtId="0" fontId="6" fillId="8" borderId="1" applyAlignment="1" pivotButton="0" quotePrefix="0" xfId="0">
      <alignment horizontal="center" vertical="top"/>
    </xf>
    <xf numFmtId="0" fontId="6" fillId="9" borderId="1" applyAlignment="1" pivotButton="0" quotePrefix="0" xfId="0">
      <alignment horizontal="center" vertical="top"/>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xf>
    <xf numFmtId="0" fontId="5" fillId="0" borderId="0" applyAlignment="1" pivotButton="0" quotePrefix="0" xfId="0">
      <alignment horizontal="center" vertical="center"/>
    </xf>
    <xf numFmtId="0" fontId="6" fillId="0" borderId="0" applyAlignment="1" pivotButton="0" quotePrefix="0" xfId="0">
      <alignment horizontal="general" vertical="bottom"/>
    </xf>
    <xf numFmtId="0" fontId="7" fillId="0" borderId="0" applyAlignment="1" pivotButton="0" quotePrefix="0" xfId="0">
      <alignment horizontal="center" vertical="center"/>
    </xf>
    <xf numFmtId="0" fontId="8" fillId="2" borderId="1" applyAlignment="1" pivotButton="0" quotePrefix="0" xfId="0">
      <alignment horizontal="center" vertical="center" wrapText="1"/>
    </xf>
    <xf numFmtId="0" fontId="9" fillId="3" borderId="1" applyAlignment="1" pivotButton="0" quotePrefix="0" xfId="0">
      <alignment horizontal="left" vertical="center"/>
    </xf>
    <xf numFmtId="0" fontId="9" fillId="3" borderId="1" applyAlignment="1" pivotButton="0" quotePrefix="0" xfId="0">
      <alignment horizontal="center" vertical="center"/>
    </xf>
    <xf numFmtId="9" fontId="9" fillId="3" borderId="1" applyAlignment="1" pivotButton="0" quotePrefix="0" xfId="0">
      <alignment horizontal="center" vertical="center"/>
    </xf>
    <xf numFmtId="0" fontId="9" fillId="4" borderId="1" applyAlignment="1" pivotButton="0" quotePrefix="0" xfId="0">
      <alignment horizontal="left" vertical="center"/>
    </xf>
    <xf numFmtId="0" fontId="9" fillId="4" borderId="1" applyAlignment="1" pivotButton="0" quotePrefix="0" xfId="0">
      <alignment horizontal="center" vertical="center"/>
    </xf>
    <xf numFmtId="9" fontId="9" fillId="4" borderId="1" applyAlignment="1" pivotButton="0" quotePrefix="0" xfId="0">
      <alignment horizontal="center" vertical="center"/>
    </xf>
    <xf numFmtId="0" fontId="10" fillId="2" borderId="1" applyAlignment="1" pivotButton="0" quotePrefix="0" xfId="0">
      <alignment horizontal="general" vertical="bottom"/>
    </xf>
    <xf numFmtId="0" fontId="11" fillId="2" borderId="1" applyAlignment="1" pivotButton="0" quotePrefix="0" xfId="0">
      <alignment horizontal="center" vertical="center"/>
    </xf>
    <xf numFmtId="9" fontId="11" fillId="2" borderId="1" applyAlignment="1" pivotButton="0" quotePrefix="0" xfId="0">
      <alignment horizontal="center" vertical="center"/>
    </xf>
    <xf numFmtId="0" fontId="11" fillId="2" borderId="1" applyAlignment="1" pivotButton="0" quotePrefix="0" xfId="0">
      <alignment horizontal="center" vertical="center" wrapText="1"/>
    </xf>
    <xf numFmtId="0" fontId="13" fillId="5" borderId="1" applyAlignment="1" pivotButton="0" quotePrefix="0" xfId="0">
      <alignment horizontal="left" vertical="center"/>
    </xf>
    <xf numFmtId="0" fontId="0" fillId="3" borderId="1" applyAlignment="1" pivotButton="0" quotePrefix="0" xfId="0">
      <alignment horizontal="general" vertical="bottom"/>
    </xf>
    <xf numFmtId="0" fontId="0" fillId="3" borderId="1" applyAlignment="1" pivotButton="0" quotePrefix="0" xfId="0">
      <alignment horizontal="center" vertical="top"/>
    </xf>
    <xf numFmtId="0" fontId="0" fillId="3" borderId="1" applyAlignment="1" pivotButton="0" quotePrefix="0" xfId="0">
      <alignment horizontal="left" vertical="top" wrapText="1"/>
    </xf>
    <xf numFmtId="0" fontId="6" fillId="6" borderId="1" applyAlignment="1" pivotButton="0" quotePrefix="0" xfId="0">
      <alignment horizontal="center" vertical="top"/>
    </xf>
    <xf numFmtId="0" fontId="0" fillId="7" borderId="1" applyAlignment="1" pivotButton="0" quotePrefix="0" xfId="0">
      <alignment horizontal="center" vertical="top"/>
    </xf>
    <xf numFmtId="0" fontId="0" fillId="4" borderId="1" applyAlignment="1" pivotButton="0" quotePrefix="0" xfId="0">
      <alignment horizontal="general" vertical="bottom"/>
    </xf>
    <xf numFmtId="0" fontId="0" fillId="4" borderId="1" applyAlignment="1" pivotButton="0" quotePrefix="0" xfId="0">
      <alignment horizontal="center" vertical="top"/>
    </xf>
    <xf numFmtId="0" fontId="0" fillId="4" borderId="1" applyAlignment="1" pivotButton="0" quotePrefix="0" xfId="0">
      <alignment horizontal="left" vertical="top" wrapText="1"/>
    </xf>
    <xf numFmtId="0" fontId="6" fillId="8" borderId="1" applyAlignment="1" pivotButton="0" quotePrefix="0" xfId="0">
      <alignment horizontal="center" vertical="top"/>
    </xf>
    <xf numFmtId="0" fontId="6" fillId="9" borderId="1" applyAlignment="1" pivotButton="0" quotePrefix="0" xfId="0">
      <alignment horizontal="center" vertical="top"/>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dxf/>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F7FB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ABF8F"/>
      <rgbColor rgb="FF3366FF"/>
      <rgbColor rgb="FF33CCCC"/>
      <rgbColor rgb="FF99CC00"/>
      <rgbColor rgb="FFFFCC00"/>
      <rgbColor rgb="FFFF9900"/>
      <rgbColor rgb="FFFF6600"/>
      <rgbColor rgb="FF595959"/>
      <rgbColor rgb="FFB3B3B3"/>
      <rgbColor rgb="FF1F3864"/>
      <rgbColor rgb="FF579D1C"/>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chart>
    <plotArea>
      <barChart>
        <barDir val="bar"/>
        <grouping val="clustered"/>
        <varyColors val="0"/>
        <ser>
          <idx val="0"/>
          <order val="0"/>
          <tx>
            <strRef>
              <f>Summary!$E$5</f>
              <strCache>
                <ptCount val="1"/>
                <pt idx="0">
                  <v>L1
%</v>
                </pt>
              </strCache>
            </strRef>
          </tx>
          <spPr>
            <a:solidFill>
              <a:srgbClr val="c6efce"/>
            </a:solidFill>
            <a:ln>
              <a:noFill/>
              <a:prstDash val="solid"/>
            </a:ln>
          </spPr>
          <invertIfNegative val="0"/>
          <dLbls>
            <txPr>
              <a:bodyPr/>
              <a:lstStyle/>
              <a:p>
                <a:pPr>
                  <a:defRPr sz="1000" b="0" strike="noStrike" spc="-1">
                    <a:latin typeface="Arial"/>
                  </a:defRPr>
                </a:pPr>
                <a:r>
                  <a:t>None</a:t>
                </a:r>
              </a:p>
            </txPr>
            <dLblPos val="outEnd"/>
            <showLegendKey val="0"/>
            <showVal val="0"/>
            <showCatName val="0"/>
            <showSerName val="0"/>
            <showPercent val="0"/>
            <showLeaderLines val="0"/>
          </dLbls>
          <cat>
            <strRef>
              <f>Summary!$A$6:$A$22</f>
              <strCache>
                <ptCount val="17"/>
                <pt idx="0">
                  <v>V1 – Encoding and Sanitization</v>
                </pt>
                <pt idx="1">
                  <v>V2 – Validation and Business Logic</v>
                </pt>
                <pt idx="2">
                  <v>V3 – Web Frontend Security</v>
                </pt>
                <pt idx="3">
                  <v>V4 – API and Web Service</v>
                </pt>
                <pt idx="4">
                  <v>V5 – File Handling</v>
                </pt>
                <pt idx="5">
                  <v>V6 – Authentication</v>
                </pt>
                <pt idx="6">
                  <v>V7 – Session Management</v>
                </pt>
                <pt idx="7">
                  <v>V8 – Authorization</v>
                </pt>
                <pt idx="8">
                  <v>V9 – Self-contained Tokens</v>
                </pt>
                <pt idx="9">
                  <v>V10 – OAuth and OIDC</v>
                </pt>
                <pt idx="10">
                  <v>V11 – Cryptography</v>
                </pt>
                <pt idx="11">
                  <v>V12 – Secure Communication</v>
                </pt>
                <pt idx="12">
                  <v>V13 – Configuration</v>
                </pt>
                <pt idx="13">
                  <v>V14 – Data Protection</v>
                </pt>
                <pt idx="14">
                  <v>V15 – Secure Coding and Architecture</v>
                </pt>
                <pt idx="15">
                  <v>V16 – Security Logging and Error Handling</v>
                </pt>
                <pt idx="16">
                  <v>V17 – WebRTC</v>
                </pt>
              </strCache>
            </strRef>
          </cat>
          <val>
            <numRef>
              <f>Summary!$E$6:$E$22</f>
              <numCache>
                <formatCode>General</formatCode>
                <ptCount val="17"/>
                <pt idx="0">
                  <v>0</v>
                </pt>
                <pt idx="1">
                  <v>0</v>
                </pt>
                <pt idx="2">
                  <v>0</v>
                </pt>
                <pt idx="3">
                  <v>0</v>
                </pt>
                <pt idx="4">
                  <v>0</v>
                </pt>
                <pt idx="5">
                  <v>0</v>
                </pt>
                <pt idx="6">
                  <v>0</v>
                </pt>
                <pt idx="7">
                  <v>0</v>
                </pt>
                <pt idx="8">
                  <v>0</v>
                </pt>
                <pt idx="9">
                  <v>0</v>
                </pt>
                <pt idx="10">
                  <v>0</v>
                </pt>
                <pt idx="11">
                  <v>0</v>
                </pt>
                <pt idx="12">
                  <v>0</v>
                </pt>
                <pt idx="13">
                  <v>0</v>
                </pt>
                <pt idx="14">
                  <v>0</v>
                </pt>
              </numCache>
            </numRef>
          </val>
        </ser>
        <ser>
          <idx val="1"/>
          <order val="1"/>
          <tx>
            <strRef>
              <f>Summary!$H$5</f>
              <strCache>
                <ptCount val="1"/>
                <pt idx="0">
                  <v>L2
%</v>
                </pt>
              </strCache>
            </strRef>
          </tx>
          <spPr>
            <a:solidFill>
              <a:srgbClr val="ffeb9c"/>
            </a:solidFill>
            <a:ln>
              <a:noFill/>
              <a:prstDash val="solid"/>
            </a:ln>
          </spPr>
          <invertIfNegative val="0"/>
          <dLbls>
            <txPr>
              <a:bodyPr/>
              <a:lstStyle/>
              <a:p>
                <a:pPr>
                  <a:defRPr sz="1000" b="0" strike="noStrike" spc="-1">
                    <a:latin typeface="Arial"/>
                  </a:defRPr>
                </a:pPr>
                <a:r>
                  <a:t>None</a:t>
                </a:r>
              </a:p>
            </txPr>
            <dLblPos val="outEnd"/>
            <showLegendKey val="0"/>
            <showVal val="0"/>
            <showCatName val="0"/>
            <showSerName val="0"/>
            <showPercent val="0"/>
            <showLeaderLines val="0"/>
          </dLbls>
          <cat>
            <strRef>
              <f>Summary!$A$6:$A$22</f>
              <strCache>
                <ptCount val="17"/>
                <pt idx="0">
                  <v>V1 – Encoding and Sanitization</v>
                </pt>
                <pt idx="1">
                  <v>V2 – Validation and Business Logic</v>
                </pt>
                <pt idx="2">
                  <v>V3 – Web Frontend Security</v>
                </pt>
                <pt idx="3">
                  <v>V4 – API and Web Service</v>
                </pt>
                <pt idx="4">
                  <v>V5 – File Handling</v>
                </pt>
                <pt idx="5">
                  <v>V6 – Authentication</v>
                </pt>
                <pt idx="6">
                  <v>V7 – Session Management</v>
                </pt>
                <pt idx="7">
                  <v>V8 – Authorization</v>
                </pt>
                <pt idx="8">
                  <v>V9 – Self-contained Tokens</v>
                </pt>
                <pt idx="9">
                  <v>V10 – OAuth and OIDC</v>
                </pt>
                <pt idx="10">
                  <v>V11 – Cryptography</v>
                </pt>
                <pt idx="11">
                  <v>V12 – Secure Communication</v>
                </pt>
                <pt idx="12">
                  <v>V13 – Configuration</v>
                </pt>
                <pt idx="13">
                  <v>V14 – Data Protection</v>
                </pt>
                <pt idx="14">
                  <v>V15 – Secure Coding and Architecture</v>
                </pt>
                <pt idx="15">
                  <v>V16 – Security Logging and Error Handling</v>
                </pt>
                <pt idx="16">
                  <v>V17 – WebRTC</v>
                </pt>
              </strCache>
            </strRef>
          </cat>
          <val>
            <numRef>
              <f>Summary!$H$6:$H$22</f>
              <numCache>
                <formatCode>General</formatCode>
                <ptCount val="17"/>
                <pt idx="0">
                  <v>0</v>
                </pt>
                <pt idx="1">
                  <v>0</v>
                </pt>
                <pt idx="2">
                  <v>0</v>
                </pt>
                <pt idx="3">
                  <v>0</v>
                </pt>
                <pt idx="4">
                  <v>0</v>
                </pt>
                <pt idx="5">
                  <v>0</v>
                </pt>
                <pt idx="6">
                  <v>0</v>
                </pt>
                <pt idx="7">
                  <v>0</v>
                </pt>
                <pt idx="8">
                  <v>0</v>
                </pt>
                <pt idx="9">
                  <v>0</v>
                </pt>
                <pt idx="10">
                  <v>0</v>
                </pt>
                <pt idx="11">
                  <v>0</v>
                </pt>
                <pt idx="12">
                  <v>0</v>
                </pt>
                <pt idx="13">
                  <v>0</v>
                </pt>
                <pt idx="14">
                  <v>0</v>
                </pt>
                <pt idx="15">
                  <v>0</v>
                </pt>
                <pt idx="16">
                  <v>0</v>
                </pt>
              </numCache>
            </numRef>
          </val>
        </ser>
        <ser>
          <idx val="2"/>
          <order val="2"/>
          <tx>
            <strRef>
              <f>Summary!$K$5</f>
              <strCache>
                <ptCount val="1"/>
                <pt idx="0">
                  <v>L3
%</v>
                </pt>
              </strCache>
            </strRef>
          </tx>
          <spPr>
            <a:solidFill>
              <a:srgbClr val="fabf8f"/>
            </a:solidFill>
            <a:ln>
              <a:noFill/>
              <a:prstDash val="solid"/>
            </a:ln>
          </spPr>
          <invertIfNegative val="0"/>
          <dLbls>
            <txPr>
              <a:bodyPr/>
              <a:lstStyle/>
              <a:p>
                <a:pPr>
                  <a:defRPr sz="1000" b="0" strike="noStrike" spc="-1">
                    <a:latin typeface="Arial"/>
                  </a:defRPr>
                </a:pPr>
                <a:r>
                  <a:t>None</a:t>
                </a:r>
              </a:p>
            </txPr>
            <dLblPos val="outEnd"/>
            <showLegendKey val="0"/>
            <showVal val="0"/>
            <showCatName val="0"/>
            <showSerName val="0"/>
            <showPercent val="0"/>
            <showLeaderLines val="0"/>
          </dLbls>
          <cat>
            <strRef>
              <f>Summary!$A$6:$A$22</f>
              <strCache>
                <ptCount val="17"/>
                <pt idx="0">
                  <v>V1 – Encoding and Sanitization</v>
                </pt>
                <pt idx="1">
                  <v>V2 – Validation and Business Logic</v>
                </pt>
                <pt idx="2">
                  <v>V3 – Web Frontend Security</v>
                </pt>
                <pt idx="3">
                  <v>V4 – API and Web Service</v>
                </pt>
                <pt idx="4">
                  <v>V5 – File Handling</v>
                </pt>
                <pt idx="5">
                  <v>V6 – Authentication</v>
                </pt>
                <pt idx="6">
                  <v>V7 – Session Management</v>
                </pt>
                <pt idx="7">
                  <v>V8 – Authorization</v>
                </pt>
                <pt idx="8">
                  <v>V9 – Self-contained Tokens</v>
                </pt>
                <pt idx="9">
                  <v>V10 – OAuth and OIDC</v>
                </pt>
                <pt idx="10">
                  <v>V11 – Cryptography</v>
                </pt>
                <pt idx="11">
                  <v>V12 – Secure Communication</v>
                </pt>
                <pt idx="12">
                  <v>V13 – Configuration</v>
                </pt>
                <pt idx="13">
                  <v>V14 – Data Protection</v>
                </pt>
                <pt idx="14">
                  <v>V15 – Secure Coding and Architecture</v>
                </pt>
                <pt idx="15">
                  <v>V16 – Security Logging and Error Handling</v>
                </pt>
                <pt idx="16">
                  <v>V17 – WebRTC</v>
                </pt>
              </strCache>
            </strRef>
          </cat>
          <val>
            <numRef>
              <f>Summary!$K$6:$K$21</f>
              <numCache>
                <formatCode>General</formatCode>
                <ptCount val="16"/>
                <pt idx="0">
                  <v>0</v>
                </pt>
                <pt idx="1">
                  <v>0</v>
                </pt>
                <pt idx="2">
                  <v>0</v>
                </pt>
                <pt idx="3">
                  <v>0</v>
                </pt>
                <pt idx="4">
                  <v>0</v>
                </pt>
                <pt idx="5">
                  <v>0</v>
                </pt>
                <pt idx="6">
                  <v>0</v>
                </pt>
                <pt idx="7">
                  <v>0</v>
                </pt>
                <pt idx="9">
                  <v>0</v>
                </pt>
                <pt idx="10">
                  <v>0</v>
                </pt>
                <pt idx="11">
                  <v>0</v>
                </pt>
                <pt idx="12">
                  <v>0</v>
                </pt>
                <pt idx="13">
                  <v>0</v>
                </pt>
                <pt idx="14">
                  <v>0</v>
                </pt>
                <pt idx="15">
                  <v>0</v>
                </pt>
              </numCache>
            </numRef>
          </val>
        </ser>
        <ser>
          <idx val="3"/>
          <order val="3"/>
          <tx>
            <strRef>
              <f>Summary!$M$5</f>
              <strCache>
                <ptCount val="1"/>
                <pt idx="0">
                  <v>Overall
%</v>
                </pt>
              </strCache>
            </strRef>
          </tx>
          <spPr>
            <a:solidFill>
              <a:srgbClr val="579d1c"/>
            </a:solidFill>
            <a:ln>
              <a:noFill/>
              <a:prstDash val="solid"/>
            </a:ln>
          </spPr>
          <invertIfNegative val="0"/>
          <dLbls>
            <txPr>
              <a:bodyPr/>
              <a:lstStyle/>
              <a:p>
                <a:pPr>
                  <a:defRPr sz="1000" b="0" strike="noStrike" spc="-1">
                    <a:latin typeface="Arial"/>
                  </a:defRPr>
                </a:pPr>
                <a:r>
                  <a:t>None</a:t>
                </a:r>
              </a:p>
            </txPr>
            <dLblPos val="outEnd"/>
            <showLegendKey val="0"/>
            <showVal val="0"/>
            <showCatName val="0"/>
            <showSerName val="0"/>
            <showPercent val="0"/>
            <showLeaderLines val="0"/>
          </dLbls>
          <cat>
            <strRef>
              <f>Summary!$A$6:$A$22</f>
              <strCache>
                <ptCount val="17"/>
                <pt idx="0">
                  <v>V1 – Encoding and Sanitization</v>
                </pt>
                <pt idx="1">
                  <v>V2 – Validation and Business Logic</v>
                </pt>
                <pt idx="2">
                  <v>V3 – Web Frontend Security</v>
                </pt>
                <pt idx="3">
                  <v>V4 – API and Web Service</v>
                </pt>
                <pt idx="4">
                  <v>V5 – File Handling</v>
                </pt>
                <pt idx="5">
                  <v>V6 – Authentication</v>
                </pt>
                <pt idx="6">
                  <v>V7 – Session Management</v>
                </pt>
                <pt idx="7">
                  <v>V8 – Authorization</v>
                </pt>
                <pt idx="8">
                  <v>V9 – Self-contained Tokens</v>
                </pt>
                <pt idx="9">
                  <v>V10 – OAuth and OIDC</v>
                </pt>
                <pt idx="10">
                  <v>V11 – Cryptography</v>
                </pt>
                <pt idx="11">
                  <v>V12 – Secure Communication</v>
                </pt>
                <pt idx="12">
                  <v>V13 – Configuration</v>
                </pt>
                <pt idx="13">
                  <v>V14 – Data Protection</v>
                </pt>
                <pt idx="14">
                  <v>V15 – Secure Coding and Architecture</v>
                </pt>
                <pt idx="15">
                  <v>V16 – Security Logging and Error Handling</v>
                </pt>
                <pt idx="16">
                  <v>V17 – WebRTC</v>
                </pt>
              </strCache>
            </strRef>
          </cat>
          <val>
            <numRef>
              <f>Summary!$M$6:$M$22</f>
              <numCache>
                <formatCode>General</formatCode>
                <ptCount val="17"/>
                <pt idx="0">
                  <v>0</v>
                </pt>
                <pt idx="1">
                  <v>0</v>
                </pt>
                <pt idx="2">
                  <v>0</v>
                </pt>
                <pt idx="3">
                  <v>0</v>
                </pt>
                <pt idx="4">
                  <v>0</v>
                </pt>
                <pt idx="5">
                  <v>0</v>
                </pt>
                <pt idx="6">
                  <v>0</v>
                </pt>
                <pt idx="7">
                  <v>0</v>
                </pt>
                <pt idx="8">
                  <v>0</v>
                </pt>
                <pt idx="9">
                  <v>0</v>
                </pt>
                <pt idx="10">
                  <v>0</v>
                </pt>
                <pt idx="11">
                  <v>0</v>
                </pt>
                <pt idx="12">
                  <v>0</v>
                </pt>
                <pt idx="13">
                  <v>0</v>
                </pt>
                <pt idx="14">
                  <v>0</v>
                </pt>
                <pt idx="15">
                  <v>0</v>
                </pt>
                <pt idx="16">
                  <v>0</v>
                </pt>
              </numCache>
            </numRef>
          </val>
        </ser>
        <gapWidth val="100"/>
        <overlap val="0"/>
        <axId val="28005530"/>
        <axId val="73737639"/>
      </barChart>
      <catAx>
        <axId val="28005530"/>
        <scaling>
          <orientation val="minMax"/>
        </scaling>
        <delete val="0"/>
        <axPos val="b"/>
        <numFmt formatCode="General" sourceLinked="1"/>
        <majorTickMark val="out"/>
        <minorTickMark val="none"/>
        <tickLblPos val="nextTo"/>
        <spPr>
          <a:ln>
            <a:solidFill>
              <a:srgbClr val="b3b3b3"/>
            </a:solidFill>
            <a:prstDash val="solid"/>
          </a:ln>
        </spPr>
        <txPr>
          <a:bodyPr/>
          <a:lstStyle/>
          <a:p>
            <a:pPr>
              <a:defRPr sz="1000" b="0" strike="noStrike" spc="-1">
                <a:latin typeface="Arial"/>
              </a:defRPr>
            </a:pPr>
            <a:r>
              <a:t>None</a:t>
            </a:r>
          </a:p>
        </txPr>
        <crossAx val="73737639"/>
        <crosses val="autoZero"/>
        <auto val="1"/>
        <lblAlgn val="ctr"/>
        <lblOffset val="100"/>
        <noMultiLvlLbl val="0"/>
      </catAx>
      <valAx>
        <axId val="73737639"/>
        <scaling>
          <orientation val="minMax"/>
        </scaling>
        <delete val="0"/>
        <axPos val="l"/>
        <majorGridlines>
          <spPr>
            <a:ln>
              <a:solidFill>
                <a:srgbClr val="b3b3b3"/>
              </a:solidFill>
              <a:prstDash val="solid"/>
            </a:ln>
          </spPr>
        </majorGridlines>
        <numFmt formatCode="0%" sourceLinked="0"/>
        <majorTickMark val="out"/>
        <minorTickMark val="none"/>
        <tickLblPos val="nextTo"/>
        <spPr>
          <a:ln>
            <a:solidFill>
              <a:srgbClr val="b3b3b3"/>
            </a:solidFill>
            <a:prstDash val="solid"/>
          </a:ln>
        </spPr>
        <txPr>
          <a:bodyPr/>
          <a:lstStyle/>
          <a:p>
            <a:pPr>
              <a:defRPr sz="1000" b="0" strike="noStrike" spc="-1">
                <a:latin typeface="Arial"/>
              </a:defRPr>
            </a:pPr>
            <a:r>
              <a:t>None</a:t>
            </a:r>
          </a:p>
        </txPr>
        <crossAx val="28005530"/>
        <crosses val="autoZero"/>
        <crossBetween val="between"/>
      </valAx>
    </plotArea>
    <legend>
      <legendPos val="r"/>
      <overlay val="0"/>
      <spPr>
        <a:noFill/>
        <a:ln>
          <a:noFill/>
          <a:prstDash val="solid"/>
        </a:ln>
      </spPr>
      <txPr>
        <a:bodyPr/>
        <a:lstStyle/>
        <a:p>
          <a:pPr>
            <a:defRPr sz="1000" b="0" strike="noStrike" spc="-1">
              <a:latin typeface="Arial"/>
            </a:defRPr>
          </a:pPr>
          <a:r>
            <a:t>None</a:t>
          </a:r>
        </a:p>
      </txPr>
    </legend>
    <plotVisOnly val="1"/>
    <dispBlanksAs val="gap"/>
  </chart>
  <spPr>
    <a:solidFill>
      <a:srgbClr val="ffffff"/>
    </a:solidFill>
    <a:ln w="9360">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0</col>
      <colOff>38880</colOff>
      <row>24</row>
      <rowOff>10440</rowOff>
    </from>
    <to>
      <col>12</col>
      <colOff>857520</colOff>
      <row>47</row>
      <rowOff>56880</rowOff>
    </to>
    <graphicFrame>
      <nvGraphicFramePr>
        <cNvPr id="1" name="Chart 1"/>
        <cNvGraphicFramePr/>
      </nvGraphicFramePr>
      <xfrm/>
      <a:graphic>
        <a:graphicData uri="http://schemas.openxmlformats.org/drawingml/2006/chart">
          <c:chart r:id="rId1"/>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filterMode="0">
    <outlinePr summaryBelow="1" summaryRight="1"/>
    <pageSetUpPr fitToPage="0"/>
  </sheetPr>
  <dimension ref="A1:AC23"/>
  <sheetViews>
    <sheetView showFormulas="0" showGridLines="0" showRowColHeaders="1" showZeros="1" rightToLeft="0" tabSelected="1" showOutlineSymbols="1" defaultGridColor="1" view="normal" topLeftCell="A1" colorId="64" zoomScale="75" zoomScaleNormal="75" zoomScalePageLayoutView="100" workbookViewId="0">
      <selection pane="topLeft" activeCell="S40" activeCellId="0" sqref="S40"/>
    </sheetView>
  </sheetViews>
  <sheetFormatPr baseColWidth="8" defaultColWidth="8.54296875" defaultRowHeight="15" zeroHeight="0" outlineLevelRow="0"/>
  <cols>
    <col width="34" customWidth="1" style="27" min="1" max="1"/>
    <col width="11" customWidth="1" style="27" min="2" max="13"/>
  </cols>
  <sheetData>
    <row r="1" ht="36" customHeight="1" s="28">
      <c r="A1" s="29" t="inlineStr">
        <is>
          <t>OWASP ASVS 5.0 – Compliance Tracker</t>
        </is>
      </c>
    </row>
    <row r="2" ht="20" customHeight="1" s="28">
      <c r="A2" s="30" t="n"/>
    </row>
    <row r="3" ht="18" customHeight="1" s="28">
      <c r="A3" s="31" t="n"/>
      <c r="C3" s="32" t="n"/>
      <c r="E3" s="32" t="n"/>
      <c r="G3" s="32" t="n"/>
      <c r="I3" s="32" t="n"/>
      <c r="K3" s="32" t="n"/>
      <c r="M3" s="32" t="n"/>
      <c r="O3" s="32" t="n"/>
    </row>
    <row r="4"/>
    <row r="5" ht="32" customHeight="1" s="28">
      <c r="A5" s="33" t="inlineStr">
        <is>
          <t>Chapter</t>
        </is>
      </c>
      <c r="B5" s="33" t="inlineStr">
        <is>
          <t>Total
Reqs</t>
        </is>
      </c>
      <c r="C5" s="33" t="inlineStr">
        <is>
          <t>L1
Total</t>
        </is>
      </c>
      <c r="D5" s="33" t="inlineStr">
        <is>
          <t>L1
Compliant</t>
        </is>
      </c>
      <c r="E5" s="33" t="inlineStr">
        <is>
          <t>L1
%</t>
        </is>
      </c>
      <c r="F5" s="33" t="inlineStr">
        <is>
          <t>L2
Total</t>
        </is>
      </c>
      <c r="G5" s="33" t="inlineStr">
        <is>
          <t>L2
Compliant</t>
        </is>
      </c>
      <c r="H5" s="33" t="inlineStr">
        <is>
          <t>L2
%</t>
        </is>
      </c>
      <c r="I5" s="33" t="inlineStr">
        <is>
          <t>L3
Total</t>
        </is>
      </c>
      <c r="J5" s="33" t="inlineStr">
        <is>
          <t>L3
Compliant</t>
        </is>
      </c>
      <c r="K5" s="33" t="inlineStr">
        <is>
          <t>L3
%</t>
        </is>
      </c>
      <c r="L5" s="33" t="inlineStr">
        <is>
          <t>Overall
Compliant</t>
        </is>
      </c>
      <c r="M5" s="33" t="inlineStr">
        <is>
          <t>Overall
%</t>
        </is>
      </c>
    </row>
    <row r="6" ht="18" customHeight="1" s="28">
      <c r="A6" s="34" t="inlineStr">
        <is>
          <t>V1 – Encoding and Sanitization</t>
        </is>
      </c>
      <c r="B6" s="35" t="n">
        <v>30</v>
      </c>
      <c r="C6" s="35" t="n">
        <v>8</v>
      </c>
      <c r="D6" s="35">
        <f>COUNTIFS('V1 - Encoding and Sanitization'!$F$2:$F$36,"Compliant",'V1 - Encoding and Sanitization'!$E$2:$E$36,1)</f>
        <v/>
      </c>
      <c r="E6" s="36">
        <f>IF(C6=0,"",D6/C6)</f>
        <v/>
      </c>
      <c r="F6" s="35" t="n">
        <v>19</v>
      </c>
      <c r="G6" s="35">
        <f>COUNTIFS('V1 - Encoding and Sanitization'!$F$2:$F$36,"Compliant",'V1 - Encoding and Sanitization'!$E$2:$E$36,2)</f>
        <v/>
      </c>
      <c r="H6" s="36">
        <f>IF(F6=0,"",G6/F6)</f>
        <v/>
      </c>
      <c r="I6" s="35" t="n">
        <v>3</v>
      </c>
      <c r="J6" s="35">
        <f>COUNTIFS('V1 - Encoding and Sanitization'!$F$2:$F$36,"Compliant",'V1 - Encoding and Sanitization'!$E$2:$E$36,3)</f>
        <v/>
      </c>
      <c r="K6" s="36">
        <f>IF(I6=0,"",J6/I6)</f>
        <v/>
      </c>
      <c r="L6" s="35">
        <f>COUNTIF('V1 - Encoding and Sanitization'!$F$2:$F$36,"Compliant")</f>
        <v/>
      </c>
      <c r="M6" s="36">
        <f>IF(B6=0,"",L6/B6)</f>
        <v/>
      </c>
    </row>
    <row r="7" ht="18" customHeight="1" s="28">
      <c r="A7" s="37" t="inlineStr">
        <is>
          <t>V2 – Validation and Business Logic</t>
        </is>
      </c>
      <c r="B7" s="38" t="n">
        <v>13</v>
      </c>
      <c r="C7" s="38" t="n">
        <v>4</v>
      </c>
      <c r="D7" s="38">
        <f>COUNTIFS('V2 - Validation and Business Lo'!$F$2:$F$18,"Compliant",'V2 - Validation and Business Lo'!$E$2:$E$18,1)</f>
        <v/>
      </c>
      <c r="E7" s="39">
        <f>IF(C7=0,"",D7/C7)</f>
        <v/>
      </c>
      <c r="F7" s="38" t="n">
        <v>7</v>
      </c>
      <c r="G7" s="38">
        <f>COUNTIFS('V2 - Validation and Business Lo'!$F$2:$F$18,"Compliant",'V2 - Validation and Business Lo'!$E$2:$E$18,2)</f>
        <v/>
      </c>
      <c r="H7" s="39">
        <f>IF(F7=0,"",G7/F7)</f>
        <v/>
      </c>
      <c r="I7" s="38" t="n">
        <v>2</v>
      </c>
      <c r="J7" s="38">
        <f>COUNTIFS('V2 - Validation and Business Lo'!$F$2:$F$18,"Compliant",'V2 - Validation and Business Lo'!$E$2:$E$18,3)</f>
        <v/>
      </c>
      <c r="K7" s="39">
        <f>IF(I7=0,"",J7/I7)</f>
        <v/>
      </c>
      <c r="L7" s="38">
        <f>COUNTIF('V2 - Validation and Business Lo'!$F$2:$F$18,"Compliant")</f>
        <v/>
      </c>
      <c r="M7" s="39">
        <f>IF(B7=0,"",L7/B7)</f>
        <v/>
      </c>
    </row>
    <row r="8" ht="18" customHeight="1" s="28">
      <c r="A8" s="34" t="inlineStr">
        <is>
          <t>V3 – Web Frontend Security</t>
        </is>
      </c>
      <c r="B8" s="35" t="n">
        <v>31</v>
      </c>
      <c r="C8" s="35" t="n">
        <v>8</v>
      </c>
      <c r="D8" s="35">
        <f>COUNTIFS('V3 - Web Frontend Security'!$F$2:$F$39,"Compliant",'V3 - Web Frontend Security'!$E$2:$E$39,1)</f>
        <v/>
      </c>
      <c r="E8" s="36">
        <f>IF(C8=0,"",D8/C8)</f>
        <v/>
      </c>
      <c r="F8" s="35" t="n">
        <v>11</v>
      </c>
      <c r="G8" s="35">
        <f>COUNTIFS('V3 - Web Frontend Security'!$F$2:$F$39,"Compliant",'V3 - Web Frontend Security'!$E$2:$E$39,2)</f>
        <v/>
      </c>
      <c r="H8" s="36">
        <f>IF(F8=0,"",G8/F8)</f>
        <v/>
      </c>
      <c r="I8" s="35" t="n">
        <v>12</v>
      </c>
      <c r="J8" s="35">
        <f>COUNTIFS('V3 - Web Frontend Security'!$F$2:$F$39,"Compliant",'V3 - Web Frontend Security'!$E$2:$E$39,3)</f>
        <v/>
      </c>
      <c r="K8" s="36">
        <f>IF(I8=0,"",J8/I8)</f>
        <v/>
      </c>
      <c r="L8" s="35">
        <f>COUNTIF('V3 - Web Frontend Security'!$F$2:$F$39,"Compliant")</f>
        <v/>
      </c>
      <c r="M8" s="36">
        <f>IF(B8=0,"",L8/B8)</f>
        <v/>
      </c>
    </row>
    <row r="9" ht="18" customHeight="1" s="28">
      <c r="A9" s="37" t="inlineStr">
        <is>
          <t>V4 – API and Web Service</t>
        </is>
      </c>
      <c r="B9" s="38" t="n">
        <v>16</v>
      </c>
      <c r="C9" s="38" t="n">
        <v>2</v>
      </c>
      <c r="D9" s="38">
        <f>COUNTIFS('V4 - API and Web Service'!$F$2:$F$21,"Compliant",'V4 - API and Web Service'!$E$2:$E$21,1)</f>
        <v/>
      </c>
      <c r="E9" s="39">
        <f>IF(C9=0,"",D9/C9)</f>
        <v/>
      </c>
      <c r="F9" s="38" t="n">
        <v>8</v>
      </c>
      <c r="G9" s="38">
        <f>COUNTIFS('V4 - API and Web Service'!$F$2:$F$21,"Compliant",'V4 - API and Web Service'!$E$2:$E$21,2)</f>
        <v/>
      </c>
      <c r="H9" s="39">
        <f>IF(F9=0,"",G9/F9)</f>
        <v/>
      </c>
      <c r="I9" s="38" t="n">
        <v>6</v>
      </c>
      <c r="J9" s="38">
        <f>COUNTIFS('V4 - API and Web Service'!$F$2:$F$21,"Compliant",'V4 - API and Web Service'!$E$2:$E$21,3)</f>
        <v/>
      </c>
      <c r="K9" s="39">
        <f>IF(I9=0,"",J9/I9)</f>
        <v/>
      </c>
      <c r="L9" s="38">
        <f>COUNTIF('V4 - API and Web Service'!$F$2:$F$21,"Compliant")</f>
        <v/>
      </c>
      <c r="M9" s="39">
        <f>IF(B9=0,"",L9/B9)</f>
        <v/>
      </c>
    </row>
    <row r="10" ht="18" customHeight="1" s="28">
      <c r="A10" s="34" t="inlineStr">
        <is>
          <t>V5 – File Handling</t>
        </is>
      </c>
      <c r="B10" s="35" t="n">
        <v>13</v>
      </c>
      <c r="C10" s="35" t="n">
        <v>4</v>
      </c>
      <c r="D10" s="35">
        <f>COUNTIFS('V5 - File Handling'!$F$2:$F$18,"Compliant",'V5 - File Handling'!$E$2:$E$18,1)</f>
        <v/>
      </c>
      <c r="E10" s="36">
        <f>IF(C10=0,"",D10/C10)</f>
        <v/>
      </c>
      <c r="F10" s="35" t="n">
        <v>5</v>
      </c>
      <c r="G10" s="35">
        <f>COUNTIFS('V5 - File Handling'!$F$2:$F$18,"Compliant",'V5 - File Handling'!$E$2:$E$18,2)</f>
        <v/>
      </c>
      <c r="H10" s="36">
        <f>IF(F10=0,"",G10/F10)</f>
        <v/>
      </c>
      <c r="I10" s="35" t="n">
        <v>4</v>
      </c>
      <c r="J10" s="35">
        <f>COUNTIFS('V5 - File Handling'!$F$2:$F$18,"Compliant",'V5 - File Handling'!$E$2:$E$18,3)</f>
        <v/>
      </c>
      <c r="K10" s="36">
        <f>IF(I10=0,"",J10/I10)</f>
        <v/>
      </c>
      <c r="L10" s="35">
        <f>COUNTIF('V5 - File Handling'!$F$2:$F$18,"Compliant")</f>
        <v/>
      </c>
      <c r="M10" s="36">
        <f>IF(B10=0,"",L10/B10)</f>
        <v/>
      </c>
    </row>
    <row r="11" ht="18" customHeight="1" s="28">
      <c r="A11" s="37" t="inlineStr">
        <is>
          <t>V6 – Authentication</t>
        </is>
      </c>
      <c r="B11" s="38" t="n">
        <v>47</v>
      </c>
      <c r="C11" s="38" t="n">
        <v>13</v>
      </c>
      <c r="D11" s="38">
        <f>COUNTIFS('V6 - Authentication'!$F$2:$F$56,"Compliant",'V6 - Authentication'!$E$2:$E$56,1)</f>
        <v/>
      </c>
      <c r="E11" s="39">
        <f>IF(C11=0,"",D11/C11)</f>
        <v/>
      </c>
      <c r="F11" s="38" t="n">
        <v>22</v>
      </c>
      <c r="G11" s="38">
        <f>COUNTIFS('V6 - Authentication'!$F$2:$F$56,"Compliant",'V6 - Authentication'!$E$2:$E$56,2)</f>
        <v/>
      </c>
      <c r="H11" s="39">
        <f>IF(F11=0,"",G11/F11)</f>
        <v/>
      </c>
      <c r="I11" s="38" t="n">
        <v>12</v>
      </c>
      <c r="J11" s="38">
        <f>COUNTIFS('V6 - Authentication'!$F$2:$F$56,"Compliant",'V6 - Authentication'!$E$2:$E$56,3)</f>
        <v/>
      </c>
      <c r="K11" s="39">
        <f>IF(I11=0,"",J11/I11)</f>
        <v/>
      </c>
      <c r="L11" s="38">
        <f>COUNTIF('V6 - Authentication'!$F$2:$F$56,"Compliant")</f>
        <v/>
      </c>
      <c r="M11" s="39">
        <f>IF(B11=0,"",L11/B11)</f>
        <v/>
      </c>
    </row>
    <row r="12" ht="18" customHeight="1" s="28">
      <c r="A12" s="34" t="inlineStr">
        <is>
          <t>V7 – Session Management</t>
        </is>
      </c>
      <c r="B12" s="35" t="n">
        <v>19</v>
      </c>
      <c r="C12" s="35" t="n">
        <v>6</v>
      </c>
      <c r="D12" s="35">
        <f>COUNTIFS('V7 - Session Management'!$F$2:$F$26,"Compliant",'V7 - Session Management'!$E$2:$E$26,1)</f>
        <v/>
      </c>
      <c r="E12" s="36">
        <f>IF(C12=0,"",D12/C12)</f>
        <v/>
      </c>
      <c r="F12" s="35" t="n">
        <v>12</v>
      </c>
      <c r="G12" s="35">
        <f>COUNTIFS('V7 - Session Management'!$F$2:$F$26,"Compliant",'V7 - Session Management'!$E$2:$E$26,2)</f>
        <v/>
      </c>
      <c r="H12" s="36">
        <f>IF(F12=0,"",G12/F12)</f>
        <v/>
      </c>
      <c r="I12" s="35" t="n">
        <v>1</v>
      </c>
      <c r="J12" s="35">
        <f>COUNTIFS('V7 - Session Management'!$F$2:$F$26,"Compliant",'V7 - Session Management'!$E$2:$E$26,3)</f>
        <v/>
      </c>
      <c r="K12" s="36">
        <f>IF(I12=0,"",J12/I12)</f>
        <v/>
      </c>
      <c r="L12" s="35">
        <f>COUNTIF('V7 - Session Management'!$F$2:$F$26,"Compliant")</f>
        <v/>
      </c>
      <c r="M12" s="36">
        <f>IF(B12=0,"",L12/B12)</f>
        <v/>
      </c>
    </row>
    <row r="13" ht="18" customHeight="1" s="28">
      <c r="A13" s="37" t="inlineStr">
        <is>
          <t>V8 – Authorization</t>
        </is>
      </c>
      <c r="B13" s="38" t="n">
        <v>13</v>
      </c>
      <c r="C13" s="38" t="n">
        <v>4</v>
      </c>
      <c r="D13" s="38">
        <f>COUNTIFS('V8 - Authorization'!$F$2:$F$18,"Compliant",'V8 - Authorization'!$E$2:$E$18,1)</f>
        <v/>
      </c>
      <c r="E13" s="39">
        <f>IF(C13=0,"",D13/C13)</f>
        <v/>
      </c>
      <c r="F13" s="38" t="n">
        <v>3</v>
      </c>
      <c r="G13" s="38">
        <f>COUNTIFS('V8 - Authorization'!$F$2:$F$18,"Compliant",'V8 - Authorization'!$E$2:$E$18,2)</f>
        <v/>
      </c>
      <c r="H13" s="39">
        <f>IF(F13=0,"",G13/F13)</f>
        <v/>
      </c>
      <c r="I13" s="38" t="n">
        <v>6</v>
      </c>
      <c r="J13" s="38">
        <f>COUNTIFS('V8 - Authorization'!$F$2:$F$18,"Compliant",'V8 - Authorization'!$E$2:$E$18,3)</f>
        <v/>
      </c>
      <c r="K13" s="39">
        <f>IF(I13=0,"",J13/I13)</f>
        <v/>
      </c>
      <c r="L13" s="38">
        <f>COUNTIF('V8 - Authorization'!$F$2:$F$18,"Compliant")</f>
        <v/>
      </c>
      <c r="M13" s="39">
        <f>IF(B13=0,"",L13/B13)</f>
        <v/>
      </c>
    </row>
    <row r="14" ht="18" customHeight="1" s="28">
      <c r="A14" s="34" t="inlineStr">
        <is>
          <t>V9 – Self-contained Tokens</t>
        </is>
      </c>
      <c r="B14" s="35" t="n">
        <v>7</v>
      </c>
      <c r="C14" s="35" t="n">
        <v>4</v>
      </c>
      <c r="D14" s="35">
        <f>COUNTIFS('V9 - Self-contained Tokens'!$F$2:$F$10,"Compliant",'V9 - Self-contained Tokens'!$E$2:$E$10,1)</f>
        <v/>
      </c>
      <c r="E14" s="36">
        <f>IF(C14=0,"",D14/C14)</f>
        <v/>
      </c>
      <c r="F14" s="35" t="n">
        <v>3</v>
      </c>
      <c r="G14" s="35">
        <f>COUNTIFS('V9 - Self-contained Tokens'!$F$2:$F$10,"Compliant",'V9 - Self-contained Tokens'!$E$2:$E$10,2)</f>
        <v/>
      </c>
      <c r="H14" s="36">
        <f>IF(F14=0,"",G14/F14)</f>
        <v/>
      </c>
      <c r="I14" s="35" t="n">
        <v>0</v>
      </c>
      <c r="J14" s="35" t="inlineStr">
        <is>
          <t>N/A</t>
        </is>
      </c>
      <c r="K14" s="35" t="inlineStr">
        <is>
          <t>N/A</t>
        </is>
      </c>
      <c r="L14" s="35">
        <f>COUNTIF('V9 - Self-contained Tokens'!$F$2:$F$10,"Compliant")</f>
        <v/>
      </c>
      <c r="M14" s="36">
        <f>IF(B14=0,"",L14/B14)</f>
        <v/>
      </c>
    </row>
    <row r="15" ht="18" customHeight="1" s="28">
      <c r="A15" s="37" t="inlineStr">
        <is>
          <t>V10 – OAuth and OIDC</t>
        </is>
      </c>
      <c r="B15" s="38" t="n">
        <v>36</v>
      </c>
      <c r="C15" s="38" t="n">
        <v>5</v>
      </c>
      <c r="D15" s="38">
        <f>COUNTIFS('V10 - OAuth and OIDC'!$F$2:$F$44,"Compliant",'V10 - OAuth and OIDC'!$E$2:$E$44,1)</f>
        <v/>
      </c>
      <c r="E15" s="39">
        <f>IF(C15=0,"",D15/C15)</f>
        <v/>
      </c>
      <c r="F15" s="38" t="n">
        <v>24</v>
      </c>
      <c r="G15" s="38">
        <f>COUNTIFS('V10 - OAuth and OIDC'!$F$2:$F$44,"Compliant",'V10 - OAuth and OIDC'!$E$2:$E$44,2)</f>
        <v/>
      </c>
      <c r="H15" s="39">
        <f>IF(F15=0,"",G15/F15)</f>
        <v/>
      </c>
      <c r="I15" s="38" t="n">
        <v>7</v>
      </c>
      <c r="J15" s="38">
        <f>COUNTIFS('V10 - OAuth and OIDC'!$F$2:$F$44,"Compliant",'V10 - OAuth and OIDC'!$E$2:$E$44,3)</f>
        <v/>
      </c>
      <c r="K15" s="39">
        <f>IF(I15=0,"",J15/I15)</f>
        <v/>
      </c>
      <c r="L15" s="38">
        <f>COUNTIF('V10 - OAuth and OIDC'!$F$2:$F$44,"Compliant")</f>
        <v/>
      </c>
      <c r="M15" s="39">
        <f>IF(B15=0,"",L15/B15)</f>
        <v/>
      </c>
    </row>
    <row r="16" ht="18" customHeight="1" s="28">
      <c r="A16" s="34" t="inlineStr">
        <is>
          <t>V11 – Cryptography</t>
        </is>
      </c>
      <c r="B16" s="35" t="n">
        <v>24</v>
      </c>
      <c r="C16" s="35" t="n">
        <v>3</v>
      </c>
      <c r="D16" s="35">
        <f>COUNTIFS('V11 - Cryptography'!$F$2:$F$32,"Compliant",'V11 - Cryptography'!$E$2:$E$32,1)</f>
        <v/>
      </c>
      <c r="E16" s="36">
        <f>IF(C16=0,"",D16/C16)</f>
        <v/>
      </c>
      <c r="F16" s="35" t="n">
        <v>11</v>
      </c>
      <c r="G16" s="35">
        <f>COUNTIFS('V11 - Cryptography'!$F$2:$F$32,"Compliant",'V11 - Cryptography'!$E$2:$E$32,2)</f>
        <v/>
      </c>
      <c r="H16" s="36">
        <f>IF(F16=0,"",G16/F16)</f>
        <v/>
      </c>
      <c r="I16" s="35" t="n">
        <v>10</v>
      </c>
      <c r="J16" s="35">
        <f>COUNTIFS('V11 - Cryptography'!$F$2:$F$32,"Compliant",'V11 - Cryptography'!$E$2:$E$32,3)</f>
        <v/>
      </c>
      <c r="K16" s="36">
        <f>IF(I16=0,"",J16/I16)</f>
        <v/>
      </c>
      <c r="L16" s="35">
        <f>COUNTIF('V11 - Cryptography'!$F$2:$F$32,"Compliant")</f>
        <v/>
      </c>
      <c r="M16" s="36">
        <f>IF(B16=0,"",L16/B16)</f>
        <v/>
      </c>
    </row>
    <row r="17" ht="18" customHeight="1" s="28">
      <c r="A17" s="37" t="inlineStr">
        <is>
          <t>V12 – Secure Communication</t>
        </is>
      </c>
      <c r="B17" s="38" t="n">
        <v>12</v>
      </c>
      <c r="C17" s="38" t="n">
        <v>3</v>
      </c>
      <c r="D17" s="38">
        <f>COUNTIFS('V12 - Secure Communication'!$F$2:$F$16,"Compliant",'V12 - Secure Communication'!$E$2:$E$16,1)</f>
        <v/>
      </c>
      <c r="E17" s="39">
        <f>IF(C17=0,"",D17/C17)</f>
        <v/>
      </c>
      <c r="F17" s="38" t="n">
        <v>6</v>
      </c>
      <c r="G17" s="38">
        <f>COUNTIFS('V12 - Secure Communication'!$F$2:$F$16,"Compliant",'V12 - Secure Communication'!$E$2:$E$16,2)</f>
        <v/>
      </c>
      <c r="H17" s="39">
        <f>IF(F17=0,"",G17/F17)</f>
        <v/>
      </c>
      <c r="I17" s="38" t="n">
        <v>3</v>
      </c>
      <c r="J17" s="38">
        <f>COUNTIFS('V12 - Secure Communication'!$F$2:$F$16,"Compliant",'V12 - Secure Communication'!$E$2:$E$16,3)</f>
        <v/>
      </c>
      <c r="K17" s="39">
        <f>IF(I17=0,"",J17/I17)</f>
        <v/>
      </c>
      <c r="L17" s="38">
        <f>COUNTIF('V12 - Secure Communication'!$F$2:$F$16,"Compliant")</f>
        <v/>
      </c>
      <c r="M17" s="39">
        <f>IF(B17=0,"",L17/B17)</f>
        <v/>
      </c>
    </row>
    <row r="18" ht="18" customHeight="1" s="28">
      <c r="A18" s="34" t="inlineStr">
        <is>
          <t>V13 – Configuration</t>
        </is>
      </c>
      <c r="B18" s="35" t="n">
        <v>21</v>
      </c>
      <c r="C18" s="35" t="n">
        <v>1</v>
      </c>
      <c r="D18" s="35">
        <f>COUNTIFS('V13 - Configuration'!$F$2:$F$26,"Compliant",'V13 - Configuration'!$E$2:$E$26,1)</f>
        <v/>
      </c>
      <c r="E18" s="36">
        <f>IF(C18=0,"",D18/C18)</f>
        <v/>
      </c>
      <c r="F18" s="35" t="n">
        <v>12</v>
      </c>
      <c r="G18" s="35">
        <f>COUNTIFS('V13 - Configuration'!$F$2:$F$26,"Compliant",'V13 - Configuration'!$E$2:$E$26,2)</f>
        <v/>
      </c>
      <c r="H18" s="36">
        <f>IF(F18=0,"",G18/F18)</f>
        <v/>
      </c>
      <c r="I18" s="35" t="n">
        <v>8</v>
      </c>
      <c r="J18" s="35">
        <f>COUNTIFS('V13 - Configuration'!$F$2:$F$26,"Compliant",'V13 - Configuration'!$E$2:$E$26,3)</f>
        <v/>
      </c>
      <c r="K18" s="36">
        <f>IF(I18=0,"",J18/I18)</f>
        <v/>
      </c>
      <c r="L18" s="35">
        <f>COUNTIF('V13 - Configuration'!$F$2:$F$26,"Compliant")</f>
        <v/>
      </c>
      <c r="M18" s="36">
        <f>IF(B18=0,"",L18/B18)</f>
        <v/>
      </c>
    </row>
    <row r="19" ht="18" customHeight="1" s="28">
      <c r="A19" s="37" t="inlineStr">
        <is>
          <t>V14 – Data Protection</t>
        </is>
      </c>
      <c r="B19" s="38" t="n">
        <v>13</v>
      </c>
      <c r="C19" s="38" t="n">
        <v>2</v>
      </c>
      <c r="D19" s="38">
        <f>COUNTIFS('V14 - Data Protection'!$F$2:$F$17,"Compliant",'V14 - Data Protection'!$E$2:$E$17,1)</f>
        <v/>
      </c>
      <c r="E19" s="39">
        <f>IF(C19=0,"",D19/C19)</f>
        <v/>
      </c>
      <c r="F19" s="38" t="n">
        <v>7</v>
      </c>
      <c r="G19" s="38">
        <f>COUNTIFS('V14 - Data Protection'!$F$2:$F$17,"Compliant",'V14 - Data Protection'!$E$2:$E$17,2)</f>
        <v/>
      </c>
      <c r="H19" s="39">
        <f>IF(F19=0,"",G19/F19)</f>
        <v/>
      </c>
      <c r="I19" s="38" t="n">
        <v>4</v>
      </c>
      <c r="J19" s="38">
        <f>COUNTIFS('V14 - Data Protection'!$F$2:$F$17,"Compliant",'V14 - Data Protection'!$E$2:$E$17,3)</f>
        <v/>
      </c>
      <c r="K19" s="39">
        <f>IF(I19=0,"",J19/I19)</f>
        <v/>
      </c>
      <c r="L19" s="38">
        <f>COUNTIF('V14 - Data Protection'!$F$2:$F$17,"Compliant")</f>
        <v/>
      </c>
      <c r="M19" s="39">
        <f>IF(B19=0,"",L19/B19)</f>
        <v/>
      </c>
    </row>
    <row r="20" ht="18" customHeight="1" s="28">
      <c r="A20" s="34" t="inlineStr">
        <is>
          <t>V15 – Secure Coding and Architecture</t>
        </is>
      </c>
      <c r="B20" s="35" t="n">
        <v>21</v>
      </c>
      <c r="C20" s="35" t="n">
        <v>3</v>
      </c>
      <c r="D20" s="35">
        <f>COUNTIFS('V15 - Secure Coding and Archite'!$F$2:$F$26,"Compliant",'V15 - Secure Coding and Archite'!$E$2:$E$26,1)</f>
        <v/>
      </c>
      <c r="E20" s="36">
        <f>IF(C20=0,"",D20/C20)</f>
        <v/>
      </c>
      <c r="F20" s="35" t="n">
        <v>10</v>
      </c>
      <c r="G20" s="35">
        <f>COUNTIFS('V15 - Secure Coding and Archite'!$F$2:$F$26,"Compliant",'V15 - Secure Coding and Archite'!$E$2:$E$26,2)</f>
        <v/>
      </c>
      <c r="H20" s="36">
        <f>IF(F20=0,"",G20/F20)</f>
        <v/>
      </c>
      <c r="I20" s="35" t="n">
        <v>8</v>
      </c>
      <c r="J20" s="35">
        <f>COUNTIFS('V15 - Secure Coding and Archite'!$F$2:$F$26,"Compliant",'V15 - Secure Coding and Archite'!$E$2:$E$26,3)</f>
        <v/>
      </c>
      <c r="K20" s="36">
        <f>IF(I20=0,"",J20/I20)</f>
        <v/>
      </c>
      <c r="L20" s="35">
        <f>COUNTIF('V15 - Secure Coding and Archite'!$F$2:$F$26,"Compliant")</f>
        <v/>
      </c>
      <c r="M20" s="36">
        <f>IF(B20=0,"",L20/B20)</f>
        <v/>
      </c>
    </row>
    <row r="21" ht="18" customHeight="1" s="28">
      <c r="A21" s="37" t="inlineStr">
        <is>
          <t>V16 – Security Logging and Error Handling</t>
        </is>
      </c>
      <c r="B21" s="38" t="n">
        <v>17</v>
      </c>
      <c r="C21" s="38" t="n">
        <v>0</v>
      </c>
      <c r="D21" s="38" t="inlineStr">
        <is>
          <t>N/A</t>
        </is>
      </c>
      <c r="E21" s="38" t="inlineStr">
        <is>
          <t>N/A</t>
        </is>
      </c>
      <c r="F21" s="38" t="n">
        <v>16</v>
      </c>
      <c r="G21" s="38">
        <f>COUNTIFS('V16 - Security Logging and Erro'!$F$2:$F$23,"Compliant",'V16 - Security Logging and Erro'!$E$2:$E$23,2)</f>
        <v/>
      </c>
      <c r="H21" s="39">
        <f>IF(F21=0,"",G21/F21)</f>
        <v/>
      </c>
      <c r="I21" s="38" t="n">
        <v>1</v>
      </c>
      <c r="J21" s="38">
        <f>COUNTIFS('V16 - Security Logging and Erro'!$F$2:$F$23,"Compliant",'V16 - Security Logging and Erro'!$E$2:$E$23,3)</f>
        <v/>
      </c>
      <c r="K21" s="39">
        <f>IF(I21=0,"",J21/I21)</f>
        <v/>
      </c>
      <c r="L21" s="38">
        <f>COUNTIF('V16 - Security Logging and Erro'!$F$2:$F$23,"Compliant")</f>
        <v/>
      </c>
      <c r="M21" s="39">
        <f>IF(B21=0,"",L21/B21)</f>
        <v/>
      </c>
    </row>
    <row r="22" ht="18" customHeight="1" s="28">
      <c r="A22" s="34" t="inlineStr">
        <is>
          <t>V17 – WebRTC</t>
        </is>
      </c>
      <c r="B22" s="35" t="n">
        <v>12</v>
      </c>
      <c r="C22" s="35" t="n">
        <v>0</v>
      </c>
      <c r="D22" s="35" t="inlineStr">
        <is>
          <t>N/A</t>
        </is>
      </c>
      <c r="E22" s="35" t="inlineStr">
        <is>
          <t>N/A</t>
        </is>
      </c>
      <c r="F22" s="35" t="n">
        <v>7</v>
      </c>
      <c r="G22" s="35">
        <f>COUNTIFS('V17 - WebRTC'!$F$2:$F$16,"Compliant",'V17 - WebRTC'!$E$2:$E$16,2)</f>
        <v/>
      </c>
      <c r="H22" s="36">
        <f>IF(F22=0,"",G22/F22)</f>
        <v/>
      </c>
      <c r="I22" s="35" t="n">
        <v>5</v>
      </c>
      <c r="J22" s="35">
        <f>COUNTIFS('V17 - WebRTC'!$F$2:$F$16,"Compliant",'V17 - WebRTC'!$E$2:$E$16,3)</f>
        <v/>
      </c>
      <c r="K22" s="36">
        <f>IF(I22=0,"",J22/I22)</f>
        <v/>
      </c>
      <c r="L22" s="35">
        <f>COUNTIF('V17 - WebRTC'!$F$2:$F$16,"Compliant")</f>
        <v/>
      </c>
      <c r="M22" s="36">
        <f>IF(B22=0,"",L22/B22)</f>
        <v/>
      </c>
    </row>
    <row r="23" ht="22" customHeight="1" s="28">
      <c r="A23" s="40" t="inlineStr">
        <is>
          <t>TOTAL</t>
        </is>
      </c>
      <c r="B23" s="41">
        <f>SUM(B6:B22)</f>
        <v/>
      </c>
      <c r="C23" s="41">
        <f>SUM(C6:C22)</f>
        <v/>
      </c>
      <c r="D23" s="41">
        <f>SUM(D6:D22)</f>
        <v/>
      </c>
      <c r="E23" s="42">
        <f>IFERROR(AVERAGE(E6:E22),"")</f>
        <v/>
      </c>
      <c r="F23" s="41">
        <f>SUM(F6:F22)</f>
        <v/>
      </c>
      <c r="G23" s="41">
        <f>SUM(G6:G22)</f>
        <v/>
      </c>
      <c r="H23" s="42">
        <f>IFERROR(AVERAGE(H6:H22),"")</f>
        <v/>
      </c>
      <c r="I23" s="41">
        <f>SUM(I6:I22)</f>
        <v/>
      </c>
      <c r="J23" s="41">
        <f>SUM(J6:J22)</f>
        <v/>
      </c>
      <c r="K23" s="42">
        <f>IFERROR(AVERAGE(K6:K22),"")</f>
        <v/>
      </c>
      <c r="L23" s="41">
        <f>SUM(L6:L22)</f>
        <v/>
      </c>
      <c r="M23" s="42">
        <f>IFERROR(AVERAGE(M6:M22),"")</f>
        <v/>
      </c>
    </row>
  </sheetData>
  <mergeCells count="3">
    <mergeCell ref="A1:P1"/>
    <mergeCell ref="A3:B3"/>
    <mergeCell ref="A2:P2"/>
  </mergeCells>
  <conditionalFormatting sqref="E6:E22">
    <cfRule type="colorScale" priority="2">
      <colorScale>
        <cfvo type="num" val="0"/>
        <cfvo type="num" val="0.5"/>
        <cfvo type="num" val="1"/>
        <color rgb="FFF8696B"/>
        <color rgb="FFFFEB84"/>
        <color rgb="FF63BE7B"/>
      </colorScale>
    </cfRule>
  </conditionalFormatting>
  <conditionalFormatting sqref="H6:H22">
    <cfRule type="colorScale" priority="3">
      <colorScale>
        <cfvo type="num" val="0"/>
        <cfvo type="num" val="0.5"/>
        <cfvo type="num" val="1"/>
        <color rgb="FFF8696B"/>
        <color rgb="FFFFEB84"/>
        <color rgb="FF63BE7B"/>
      </colorScale>
    </cfRule>
  </conditionalFormatting>
  <conditionalFormatting sqref="K6:K22">
    <cfRule type="colorScale" priority="4">
      <colorScale>
        <cfvo type="num" val="0"/>
        <cfvo type="num" val="0.5"/>
        <cfvo type="num" val="1"/>
        <color rgb="FFF8696B"/>
        <color rgb="FFFFEB84"/>
        <color rgb="FF63BE7B"/>
      </colorScale>
    </cfRule>
  </conditionalFormatting>
  <conditionalFormatting sqref="M6:M22">
    <cfRule type="colorScale" priority="5">
      <colorScale>
        <cfvo type="num" val="0"/>
        <cfvo type="num" val="0.5"/>
        <cfvo type="num" val="1"/>
        <color rgb="FFF8696B"/>
        <color rgb="FFFFEB84"/>
        <color rgb="FF63BE7B"/>
      </colorScale>
    </cfRule>
  </conditionalFormatting>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drawing xmlns:r="http://schemas.openxmlformats.org/officeDocument/2006/relationships" r:id="rId1"/>
</worksheet>
</file>

<file path=xl/worksheets/sheet2.xml><?xml version="1.0" encoding="utf-8"?>
<worksheet xmlns="http://schemas.openxmlformats.org/spreadsheetml/2006/main">
  <sheetPr filterMode="0">
    <outlinePr summaryBelow="1" summaryRight="1"/>
    <pageSetUpPr fitToPage="0"/>
  </sheetPr>
  <dimension ref="A1:AC36"/>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J8" activeCellId="0" sqref="J8"/>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V1.1</t>
        </is>
      </c>
      <c r="B2" s="44" t="inlineStr">
        <is>
          <t>Encoding and Sanitization Architecture</t>
        </is>
      </c>
      <c r="C2" s="44" t="n"/>
      <c r="D2" s="44" t="n"/>
      <c r="E2" s="44" t="n"/>
      <c r="F2" s="44" t="n"/>
      <c r="G2" s="44" t="n"/>
      <c r="H2" s="44" t="n"/>
    </row>
    <row r="3" ht="30" customHeight="1" s="28">
      <c r="A3" s="45" t="inlineStr">
        <is>
          <t>V1.1</t>
        </is>
      </c>
      <c r="B3" s="45" t="inlineStr">
        <is>
          <t>Encoding and Sanitization Architecture</t>
        </is>
      </c>
      <c r="C3" s="46" t="inlineStr">
        <is>
          <t>V1.1.1</t>
        </is>
      </c>
      <c r="D3" s="47" t="inlineStr">
        <is>
          <t>Verify that input is decoded or unescaped into a canonical form only once, it is only decoded when encoded data in that form is expected, and that this is done before processing the input further, for example it is not performed after input validation or sanitization.</t>
        </is>
      </c>
      <c r="E3" s="48" t="n">
        <v>2</v>
      </c>
      <c r="F3" s="49" t="inlineStr">
        <is>
          <t>Not Started</t>
        </is>
      </c>
      <c r="G3" s="47" t="inlineStr">
        <is>
          <t>Requirement-level evidence has not yet been identified for this item in the Phase 1 deliverables. Residual risk: This gap may lead to unclear control scope and incomplete test planning in Phase 2.</t>
        </is>
      </c>
      <c r="H3" s="47" t="inlineStr">
        <is>
          <t>N/A - No requirement-level evidence currently documented in Deliveries/Phase1.</t>
        </is>
      </c>
    </row>
    <row r="4" ht="30" customHeight="1" s="28">
      <c r="A4" s="50" t="inlineStr">
        <is>
          <t>V1.1</t>
        </is>
      </c>
      <c r="B4" s="50" t="inlineStr">
        <is>
          <t>Encoding and Sanitization Architecture</t>
        </is>
      </c>
      <c r="C4" s="51" t="inlineStr">
        <is>
          <t>V1.1.2</t>
        </is>
      </c>
      <c r="D4" s="52" t="inlineStr">
        <is>
          <t>Verify that the application performs output encoding and escaping either as a final step before being used by the interpreter for which it is intended or by the interpreter itself.</t>
        </is>
      </c>
      <c r="E4" s="48" t="n">
        <v>2</v>
      </c>
      <c r="F4" s="49" t="inlineStr">
        <is>
          <t>Not Started</t>
        </is>
      </c>
      <c r="G4" s="52" t="inlineStr">
        <is>
          <t>Requirement-level evidence has not yet been identified for this item in the Phase 1 deliverables. Residual risk: This gap may lead to unclear control scope and incomplete test planning in Phase 2.</t>
        </is>
      </c>
      <c r="H4" s="52" t="inlineStr">
        <is>
          <t>N/A - No requirement-level evidence currently documented in Deliveries/Phase1.</t>
        </is>
      </c>
    </row>
    <row r="5" ht="18" customHeight="1" s="28">
      <c r="A5" s="44" t="inlineStr">
        <is>
          <t>V1.2</t>
        </is>
      </c>
      <c r="B5" s="44" t="inlineStr">
        <is>
          <t>Injection Prevention</t>
        </is>
      </c>
      <c r="C5" s="44" t="n"/>
      <c r="D5" s="44" t="n"/>
      <c r="E5" s="44" t="n"/>
      <c r="F5" s="44" t="n"/>
      <c r="G5" s="44" t="n"/>
      <c r="H5" s="44" t="n"/>
    </row>
    <row r="6" ht="30" customHeight="1" s="28">
      <c r="A6" s="45" t="inlineStr">
        <is>
          <t>V1.2</t>
        </is>
      </c>
      <c r="B6" s="45" t="inlineStr">
        <is>
          <t>Injection Prevention</t>
        </is>
      </c>
      <c r="C6" s="46" t="inlineStr">
        <is>
          <t>V1.2.1</t>
        </is>
      </c>
      <c r="D6" s="47" t="inlineStr">
        <is>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is>
      </c>
      <c r="E6" s="53" t="n">
        <v>1</v>
      </c>
      <c r="F6" s="49" t="inlineStr">
        <is>
          <t>Not Started</t>
        </is>
      </c>
      <c r="G6" s="47" t="inlineStr">
        <is>
          <t>Requirement-level evidence has not yet been identified for this item in the Phase 1 deliverables. Residual risk: This gap may lead to unclear control scope and incomplete test planning in Phase 2.</t>
        </is>
      </c>
      <c r="H6" s="47" t="inlineStr">
        <is>
          <t>N/A - No requirement-level evidence currently documented in Deliveries/Phase1.</t>
        </is>
      </c>
    </row>
    <row r="7" ht="30" customHeight="1" s="28">
      <c r="A7" s="50" t="inlineStr">
        <is>
          <t>V1.2</t>
        </is>
      </c>
      <c r="B7" s="50" t="inlineStr">
        <is>
          <t>Injection Prevention</t>
        </is>
      </c>
      <c r="C7" s="51" t="inlineStr">
        <is>
          <t>V1.2.2</t>
        </is>
      </c>
      <c r="D7" s="52" t="inlineStr">
        <is>
          <t>Verify that when dynamically building URLs, untrusted data is encoded according to its context (e.g., URL encoding or base64url encoding for query or path parameters). Ensure that only safe URL protocols are permitted (e.g., disallow javascript: or data:).</t>
        </is>
      </c>
      <c r="E7" s="53" t="n">
        <v>1</v>
      </c>
      <c r="F7" s="49" t="inlineStr">
        <is>
          <t>Not Started</t>
        </is>
      </c>
      <c r="G7" s="52" t="inlineStr">
        <is>
          <t>Requirement-level evidence has not yet been identified for this item in the Phase 1 deliverables. Residual risk: This gap may lead to unclear control scope and incomplete test planning in Phase 2.</t>
        </is>
      </c>
      <c r="H7" s="52" t="inlineStr">
        <is>
          <t>N/A - No requirement-level evidence currently documented in Deliveries/Phase1.</t>
        </is>
      </c>
    </row>
    <row r="8" ht="30" customHeight="1" s="28">
      <c r="A8" s="45" t="inlineStr">
        <is>
          <t>V1.2</t>
        </is>
      </c>
      <c r="B8" s="45" t="inlineStr">
        <is>
          <t>Injection Prevention</t>
        </is>
      </c>
      <c r="C8" s="46" t="inlineStr">
        <is>
          <t>V1.2.3</t>
        </is>
      </c>
      <c r="D8" s="47" t="inlineStr">
        <is>
          <t>Verify that output encoding or escaping is used when dynamically building JavaScript content (including JSON), to avoid changing the message or document structure (to avoid JavaScript and JSON injection).</t>
        </is>
      </c>
      <c r="E8" s="53" t="n">
        <v>1</v>
      </c>
      <c r="F8" s="49" t="inlineStr">
        <is>
          <t>Not Started</t>
        </is>
      </c>
      <c r="G8" s="47" t="inlineStr">
        <is>
          <t>Requirement-level evidence has not yet been identified for this item in the Phase 1 deliverables. Residual risk: This gap may lead to unclear control scope and incomplete test planning in Phase 2.</t>
        </is>
      </c>
      <c r="H8" s="47" t="inlineStr">
        <is>
          <t>N/A - No requirement-level evidence currently documented in Deliveries/Phase1.</t>
        </is>
      </c>
    </row>
    <row r="9" ht="30" customHeight="1" s="28">
      <c r="A9" s="50" t="inlineStr">
        <is>
          <t>V1.2</t>
        </is>
      </c>
      <c r="B9" s="50" t="inlineStr">
        <is>
          <t>Injection Prevention</t>
        </is>
      </c>
      <c r="C9" s="51" t="inlineStr">
        <is>
          <t>V1.2.4</t>
        </is>
      </c>
      <c r="D9" s="52" t="inlineStr">
        <is>
          <t>Verify that data selection or database queries (e.g., SQL, HQL, NoSQL, Cypher) use parameterized queries, ORMs, entity frameworks, or are otherwise protected from SQL Injection and other database injection attacks. This is also relevant when writing stored procedures.</t>
        </is>
      </c>
      <c r="E9" s="53" t="n">
        <v>1</v>
      </c>
      <c r="F9" s="49" t="inlineStr">
        <is>
          <t>Compliant</t>
        </is>
      </c>
      <c r="G9" s="52" t="inlineStr">
        <is>
          <t>Explicitly covered by Deliveries documentation with direct ASVS traceability (design-phase evidence). Residual risk: Implementation verification is still pending for Phase 2 execution.</t>
        </is>
      </c>
      <c r="H9" s="52" t="inlineStr">
        <is>
          <t>backend/src/main/java/com/desofs/project/document/services/DocumentService.java; backend/src/main/java/com/desofs/project/infrastructure/filesystem/FileStorageService.java; Deliverables/Phase2/Sprint1/SDR-001/SDR-001-secure-coding-checklist.md</t>
        </is>
      </c>
    </row>
    <row r="10" ht="30" customHeight="1" s="28">
      <c r="A10" s="45" t="inlineStr">
        <is>
          <t>V1.2</t>
        </is>
      </c>
      <c r="B10" s="45" t="inlineStr">
        <is>
          <t>Injection Prevention</t>
        </is>
      </c>
      <c r="C10" s="46" t="inlineStr">
        <is>
          <t>V1.2.5</t>
        </is>
      </c>
      <c r="D10" s="47" t="inlineStr">
        <is>
          <t>Verify that the application protects against OS command injection and that operating system calls use parameterized OS queries or use contextual command line output encoding.</t>
        </is>
      </c>
      <c r="E10" s="53" t="n">
        <v>1</v>
      </c>
      <c r="F10" s="49" t="inlineStr">
        <is>
          <t>Compliant</t>
        </is>
      </c>
      <c r="G10" s="47" t="inlineStr">
        <is>
          <t>Explicitly covered by Deliveries documentation with direct ASVS traceability (design-phase evidence). Residual risk: Implementation verification is still pending for Phase 2 execution.</t>
        </is>
      </c>
      <c r="H10" s="47" t="inlineStr">
        <is>
          <t>backend/src/main/java/com/desofs/project/document/services/DocumentService.java; backend/src/main/java/com/desofs/project/infrastructure/filesystem/FileStorageService.java; Deliverables/Phase2/Sprint1/SDR-001/SDR-001-secure-coding-checklist.md</t>
        </is>
      </c>
    </row>
    <row r="11" ht="30" customHeight="1" s="28">
      <c r="A11" s="50" t="inlineStr">
        <is>
          <t>V1.2</t>
        </is>
      </c>
      <c r="B11" s="50" t="inlineStr">
        <is>
          <t>Injection Prevention</t>
        </is>
      </c>
      <c r="C11" s="51" t="inlineStr">
        <is>
          <t>V1.2.6</t>
        </is>
      </c>
      <c r="D11" s="52" t="inlineStr">
        <is>
          <t>Verify that the application protects against LDAP injection vulnerabilities, or that specific security controls to prevent LDAP injection have been implemented.</t>
        </is>
      </c>
      <c r="E11" s="48" t="n">
        <v>2</v>
      </c>
      <c r="F11" s="49" t="inlineStr">
        <is>
          <t>Not Started</t>
        </is>
      </c>
      <c r="G11" s="52" t="inlineStr">
        <is>
          <t>Requirement-level evidence has not yet been identified for this item in the Phase 1 deliverables. Residual risk: This gap may lead to unclear control scope and incomplete test planning in Phase 2.</t>
        </is>
      </c>
      <c r="H11" s="52" t="inlineStr">
        <is>
          <t>N/A - No requirement-level evidence currently documented in Deliveries/Phase1.</t>
        </is>
      </c>
    </row>
    <row r="12" ht="30" customHeight="1" s="28">
      <c r="A12" s="45" t="inlineStr">
        <is>
          <t>V1.2</t>
        </is>
      </c>
      <c r="B12" s="45" t="inlineStr">
        <is>
          <t>Injection Prevention</t>
        </is>
      </c>
      <c r="C12" s="46" t="inlineStr">
        <is>
          <t>V1.2.7</t>
        </is>
      </c>
      <c r="D12" s="47" t="inlineStr">
        <is>
          <t>Verify that the application is protected against XPath injection attacks by using query parameterization or precompiled queries.</t>
        </is>
      </c>
      <c r="E12" s="48" t="n">
        <v>2</v>
      </c>
      <c r="F12" s="49" t="inlineStr">
        <is>
          <t>Not Started</t>
        </is>
      </c>
      <c r="G12" s="47" t="inlineStr">
        <is>
          <t>Requirement-level evidence has not yet been identified for this item in the Phase 1 deliverables. Residual risk: This gap may lead to unclear control scope and incomplete test planning in Phase 2.</t>
        </is>
      </c>
      <c r="H12" s="47" t="inlineStr">
        <is>
          <t>N/A - No requirement-level evidence currently documented in Deliveries/Phase1.</t>
        </is>
      </c>
    </row>
    <row r="13" ht="30" customHeight="1" s="28">
      <c r="A13" s="50" t="inlineStr">
        <is>
          <t>V1.2</t>
        </is>
      </c>
      <c r="B13" s="50" t="inlineStr">
        <is>
          <t>Injection Prevention</t>
        </is>
      </c>
      <c r="C13" s="51" t="inlineStr">
        <is>
          <t>V1.2.8</t>
        </is>
      </c>
      <c r="D13" s="52" t="inlineStr">
        <is>
          <t>Verify that LaTeX processors are configured securely (such as not using the "--shell-escape" flag) and an allowlist of commands is used to prevent LaTeX injection attacks.</t>
        </is>
      </c>
      <c r="E13" s="48" t="n">
        <v>2</v>
      </c>
      <c r="F13" s="49" t="inlineStr">
        <is>
          <t>Not Started</t>
        </is>
      </c>
      <c r="G13" s="52" t="inlineStr">
        <is>
          <t>Requirement-level evidence has not yet been identified for this item in the Phase 1 deliverables. Residual risk: This gap may lead to unclear control scope and incomplete test planning in Phase 2.</t>
        </is>
      </c>
      <c r="H13" s="52" t="inlineStr">
        <is>
          <t>N/A - No requirement-level evidence currently documented in Deliveries/Phase1.</t>
        </is>
      </c>
    </row>
    <row r="14" ht="30" customHeight="1" s="28">
      <c r="A14" s="45" t="inlineStr">
        <is>
          <t>V1.2</t>
        </is>
      </c>
      <c r="B14" s="45" t="inlineStr">
        <is>
          <t>Injection Prevention</t>
        </is>
      </c>
      <c r="C14" s="46" t="inlineStr">
        <is>
          <t>V1.2.9</t>
        </is>
      </c>
      <c r="D14" s="47" t="inlineStr">
        <is>
          <t>Verify that the application escapes special characters in regular expressions (typically using a backslash) to prevent them from being misinterpreted as metacharacters.</t>
        </is>
      </c>
      <c r="E14" s="48" t="n">
        <v>2</v>
      </c>
      <c r="F14" s="49" t="inlineStr">
        <is>
          <t>Not Started</t>
        </is>
      </c>
      <c r="G14" s="47" t="inlineStr">
        <is>
          <t>Requirement-level evidence has not yet been identified for this item in the Phase 1 deliverables. Residual risk: This gap may lead to unclear control scope and incomplete test planning in Phase 2.</t>
        </is>
      </c>
      <c r="H14" s="47" t="inlineStr">
        <is>
          <t>N/A - No requirement-level evidence currently documented in Deliveries/Phase1.</t>
        </is>
      </c>
    </row>
    <row r="15" ht="30" customHeight="1" s="28">
      <c r="A15" s="50" t="inlineStr">
        <is>
          <t>V1.2</t>
        </is>
      </c>
      <c r="B15" s="50" t="inlineStr">
        <is>
          <t>Injection Prevention</t>
        </is>
      </c>
      <c r="C15" s="51" t="inlineStr">
        <is>
          <t>V1.2.10</t>
        </is>
      </c>
      <c r="D15" s="52" t="inlineStr">
        <is>
          <t>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is>
      </c>
      <c r="E15" s="54" t="n">
        <v>3</v>
      </c>
      <c r="F15" s="49" t="inlineStr">
        <is>
          <t>Not Started</t>
        </is>
      </c>
      <c r="G15" s="52" t="inlineStr">
        <is>
          <t>Requirement-level evidence has not yet been identified for this item in the Phase 1 deliverables. Residual risk: This gap may lead to unclear control scope and incomplete test planning in Phase 2.</t>
        </is>
      </c>
      <c r="H15" s="52" t="inlineStr">
        <is>
          <t>N/A - No requirement-level evidence currently documented in Deliveries/Phase1.</t>
        </is>
      </c>
    </row>
    <row r="16" ht="18" customHeight="1" s="28">
      <c r="A16" s="44" t="inlineStr">
        <is>
          <t>V1.3</t>
        </is>
      </c>
      <c r="B16" s="44" t="inlineStr">
        <is>
          <t>Sanitization</t>
        </is>
      </c>
      <c r="C16" s="44" t="n"/>
      <c r="D16" s="44" t="n"/>
      <c r="E16" s="44" t="n"/>
      <c r="F16" s="44" t="n"/>
      <c r="G16" s="44" t="n"/>
      <c r="H16" s="44" t="n"/>
    </row>
    <row r="17" ht="30" customHeight="1" s="28">
      <c r="A17" s="45" t="inlineStr">
        <is>
          <t>V1.3</t>
        </is>
      </c>
      <c r="B17" s="45" t="inlineStr">
        <is>
          <t>Sanitization</t>
        </is>
      </c>
      <c r="C17" s="46" t="inlineStr">
        <is>
          <t>V1.3.1</t>
        </is>
      </c>
      <c r="D17" s="47" t="inlineStr">
        <is>
          <t>Verify that all untrusted HTML input from WYSIWYG editors or similar is sanitized using a well-known and secure HTML sanitization library or framework feature.</t>
        </is>
      </c>
      <c r="E17" s="53" t="n">
        <v>1</v>
      </c>
      <c r="F17" s="49" t="inlineStr">
        <is>
          <t>Not Started</t>
        </is>
      </c>
      <c r="G17" s="47" t="inlineStr">
        <is>
          <t>Requirement-level evidence has not yet been identified for this item in the Phase 1 deliverables. Residual risk: This gap may lead to unclear control scope and incomplete test planning in Phase 2.</t>
        </is>
      </c>
      <c r="H17" s="47" t="inlineStr">
        <is>
          <t>N/A - No requirement-level evidence currently documented in Deliveries/Phase1.</t>
        </is>
      </c>
    </row>
    <row r="18" ht="30" customHeight="1" s="28">
      <c r="A18" s="50" t="inlineStr">
        <is>
          <t>V1.3</t>
        </is>
      </c>
      <c r="B18" s="50" t="inlineStr">
        <is>
          <t>Sanitization</t>
        </is>
      </c>
      <c r="C18" s="51" t="inlineStr">
        <is>
          <t>V1.3.2</t>
        </is>
      </c>
      <c r="D18" s="52" t="inlineStr">
        <is>
          <t>Verify that the application avoids the use of eval() or other dynamic code execution features such as Spring Expression Language (SpEL). Where there is no alternative, any user input being included must be sanitized before being executed.</t>
        </is>
      </c>
      <c r="E18" s="53" t="n">
        <v>1</v>
      </c>
      <c r="F18" s="49" t="inlineStr">
        <is>
          <t>Not Started</t>
        </is>
      </c>
      <c r="G18" s="52" t="inlineStr">
        <is>
          <t>Requirement-level evidence has not yet been identified for this item in the Phase 1 deliverables. Residual risk: This gap may lead to unclear control scope and incomplete test planning in Phase 2.</t>
        </is>
      </c>
      <c r="H18" s="52" t="inlineStr">
        <is>
          <t>N/A - No requirement-level evidence currently documented in Deliveries/Phase1.</t>
        </is>
      </c>
    </row>
    <row r="19" ht="30" customHeight="1" s="28">
      <c r="A19" s="45" t="inlineStr">
        <is>
          <t>V1.3</t>
        </is>
      </c>
      <c r="B19" s="45" t="inlineStr">
        <is>
          <t>Sanitization</t>
        </is>
      </c>
      <c r="C19" s="46" t="inlineStr">
        <is>
          <t>V1.3.3</t>
        </is>
      </c>
      <c r="D19" s="47" t="inlineStr">
        <is>
          <t>Verify that data being passed to a potentially dangerous context is sanitized beforehand to enforce safety measures, such as only allowing characters which are safe for this context and trimming input which is too long.</t>
        </is>
      </c>
      <c r="E19" s="48" t="n">
        <v>2</v>
      </c>
      <c r="F19" s="49" t="inlineStr">
        <is>
          <t>Compliant</t>
        </is>
      </c>
      <c r="G19" s="47" t="inlineStr">
        <is>
          <t>Explicitly covered by Deliveries documentation with direct ASVS traceability (design-phase evidence). Residual risk: Implementation verification is still pending for Phase 2 execution.</t>
        </is>
      </c>
      <c r="H19" s="47" t="inlineStr">
        <is>
          <t>backend/src/main/java/com/desofs/project/document/services/DocumentService.java; backend/src/main/java/com/desofs/project/infrastructure/filesystem/FileStorageService.java; Deliverables/Phase2/Sprint1/SDR-001/SDR-001-secure-coding-checklist.md</t>
        </is>
      </c>
    </row>
    <row r="20" ht="30" customHeight="1" s="28">
      <c r="A20" s="50" t="inlineStr">
        <is>
          <t>V1.3</t>
        </is>
      </c>
      <c r="B20" s="50" t="inlineStr">
        <is>
          <t>Sanitization</t>
        </is>
      </c>
      <c r="C20" s="51" t="inlineStr">
        <is>
          <t>V1.3.4</t>
        </is>
      </c>
      <c r="D20" s="52" t="inlineStr">
        <is>
          <t>Verify that user-supplied Scalable Vector Graphics (SVG) scriptable content is validated or sanitized to contain only tags and attributes (such as draw graphics) that are safe for the application, e.g., do not contain scripts and foreignObject.</t>
        </is>
      </c>
      <c r="E20" s="48" t="n">
        <v>2</v>
      </c>
      <c r="F20" s="49" t="inlineStr">
        <is>
          <t>Not Started</t>
        </is>
      </c>
      <c r="G20" s="52" t="inlineStr">
        <is>
          <t>Requirement-level evidence has not yet been identified for this item in the Phase 1 deliverables. Residual risk: This gap may lead to unclear control scope and incomplete test planning in Phase 2.</t>
        </is>
      </c>
      <c r="H20" s="52" t="inlineStr">
        <is>
          <t>N/A - No requirement-level evidence currently documented in Deliveries/Phase1.</t>
        </is>
      </c>
    </row>
    <row r="21" ht="30" customHeight="1" s="28">
      <c r="A21" s="45" t="inlineStr">
        <is>
          <t>V1.3</t>
        </is>
      </c>
      <c r="B21" s="45" t="inlineStr">
        <is>
          <t>Sanitization</t>
        </is>
      </c>
      <c r="C21" s="46" t="inlineStr">
        <is>
          <t>V1.3.5</t>
        </is>
      </c>
      <c r="D21" s="47" t="inlineStr">
        <is>
          <t>Verify that the application sanitizes or disables user-supplied scriptable or expression template language content, such as Markdown, CSS or XSL stylesheets, BBCode, or similar.</t>
        </is>
      </c>
      <c r="E21" s="48" t="n">
        <v>2</v>
      </c>
      <c r="F21" s="49" t="inlineStr">
        <is>
          <t>Not Started</t>
        </is>
      </c>
      <c r="G21" s="47" t="inlineStr">
        <is>
          <t>Requirement-level evidence has not yet been identified for this item in the Phase 1 deliverables. Residual risk: This gap may lead to unclear control scope and incomplete test planning in Phase 2.</t>
        </is>
      </c>
      <c r="H21" s="47" t="inlineStr">
        <is>
          <t>N/A - No requirement-level evidence currently documented in Deliveries/Phase1.</t>
        </is>
      </c>
    </row>
    <row r="22" ht="30" customHeight="1" s="28">
      <c r="A22" s="50" t="inlineStr">
        <is>
          <t>V1.3</t>
        </is>
      </c>
      <c r="B22" s="50" t="inlineStr">
        <is>
          <t>Sanitization</t>
        </is>
      </c>
      <c r="C22" s="51" t="inlineStr">
        <is>
          <t>V1.3.6</t>
        </is>
      </c>
      <c r="D22" s="52" t="inlineStr">
        <is>
          <t>Verify that the application protects against Server-side Request Forgery (SSRF) attacks, by validating untrusted data against an allowlist of protocols, domains, paths and ports and sanitizing potentially dangerous characters before using the data to call another service.</t>
        </is>
      </c>
      <c r="E22" s="48" t="n">
        <v>2</v>
      </c>
      <c r="F22" s="49" t="inlineStr">
        <is>
          <t>Not Started</t>
        </is>
      </c>
      <c r="G22" s="52" t="inlineStr">
        <is>
          <t>Requirement-level evidence has not yet been identified for this item in the Phase 1 deliverables. Residual risk: This gap may lead to unclear control scope and incomplete test planning in Phase 2.</t>
        </is>
      </c>
      <c r="H22" s="52" t="inlineStr">
        <is>
          <t>N/A - No requirement-level evidence currently documented in Deliveries/Phase1.</t>
        </is>
      </c>
    </row>
    <row r="23" ht="30" customHeight="1" s="28">
      <c r="A23" s="45" t="inlineStr">
        <is>
          <t>V1.3</t>
        </is>
      </c>
      <c r="B23" s="45" t="inlineStr">
        <is>
          <t>Sanitization</t>
        </is>
      </c>
      <c r="C23" s="46" t="inlineStr">
        <is>
          <t>V1.3.7</t>
        </is>
      </c>
      <c r="D23" s="47" t="inlineStr">
        <is>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is>
      </c>
      <c r="E23" s="48" t="n">
        <v>2</v>
      </c>
      <c r="F23" s="49" t="inlineStr">
        <is>
          <t>Not Started</t>
        </is>
      </c>
      <c r="G23" s="47" t="inlineStr">
        <is>
          <t>Requirement-level evidence has not yet been identified for this item in the Phase 1 deliverables. Residual risk: This gap may lead to unclear control scope and incomplete test planning in Phase 2.</t>
        </is>
      </c>
      <c r="H23" s="47" t="inlineStr">
        <is>
          <t>N/A - No requirement-level evidence currently documented in Deliveries/Phase1.</t>
        </is>
      </c>
    </row>
    <row r="24" ht="30" customHeight="1" s="28">
      <c r="A24" s="50" t="inlineStr">
        <is>
          <t>V1.3</t>
        </is>
      </c>
      <c r="B24" s="50" t="inlineStr">
        <is>
          <t>Sanitization</t>
        </is>
      </c>
      <c r="C24" s="51" t="inlineStr">
        <is>
          <t>V1.3.8</t>
        </is>
      </c>
      <c r="D24" s="52" t="inlineStr">
        <is>
          <t>Verify that the application appropriately sanitizes untrusted input before use in Java Naming and Directory Interface (JNDI) queries and that JNDI is configured securely to prevent JNDI injection attacks.</t>
        </is>
      </c>
      <c r="E24" s="48" t="n">
        <v>2</v>
      </c>
      <c r="F24" s="49" t="inlineStr">
        <is>
          <t>Not Started</t>
        </is>
      </c>
      <c r="G24" s="52" t="inlineStr">
        <is>
          <t>Requirement-level evidence has not yet been identified for this item in the Phase 1 deliverables. Residual risk: This gap may lead to unclear control scope and incomplete test planning in Phase 2.</t>
        </is>
      </c>
      <c r="H24" s="52" t="inlineStr">
        <is>
          <t>N/A - No requirement-level evidence currently documented in Deliveries/Phase1.</t>
        </is>
      </c>
    </row>
    <row r="25" ht="30" customHeight="1" s="28">
      <c r="A25" s="45" t="inlineStr">
        <is>
          <t>V1.3</t>
        </is>
      </c>
      <c r="B25" s="45" t="inlineStr">
        <is>
          <t>Sanitization</t>
        </is>
      </c>
      <c r="C25" s="46" t="inlineStr">
        <is>
          <t>V1.3.9</t>
        </is>
      </c>
      <c r="D25" s="47" t="inlineStr">
        <is>
          <t>Verify that the application sanitizes content before it is sent to memcache to prevent injection attacks.</t>
        </is>
      </c>
      <c r="E25" s="48" t="n">
        <v>2</v>
      </c>
      <c r="F25" s="49" t="inlineStr">
        <is>
          <t>Not Started</t>
        </is>
      </c>
      <c r="G25" s="47" t="inlineStr">
        <is>
          <t>Requirement-level evidence has not yet been identified for this item in the Phase 1 deliverables. Residual risk: This gap may lead to unclear control scope and incomplete test planning in Phase 2.</t>
        </is>
      </c>
      <c r="H25" s="47" t="inlineStr">
        <is>
          <t>N/A - No requirement-level evidence currently documented in Deliveries/Phase1.</t>
        </is>
      </c>
    </row>
    <row r="26" ht="30" customHeight="1" s="28">
      <c r="A26" s="50" t="inlineStr">
        <is>
          <t>V1.3</t>
        </is>
      </c>
      <c r="B26" s="50" t="inlineStr">
        <is>
          <t>Sanitization</t>
        </is>
      </c>
      <c r="C26" s="51" t="inlineStr">
        <is>
          <t>V1.3.10</t>
        </is>
      </c>
      <c r="D26" s="52" t="inlineStr">
        <is>
          <t>Verify that format strings which might resolve in an unexpected or malicious way when used are sanitized before being processed.</t>
        </is>
      </c>
      <c r="E26" s="48" t="n">
        <v>2</v>
      </c>
      <c r="F26" s="49" t="inlineStr">
        <is>
          <t>Not Started</t>
        </is>
      </c>
      <c r="G26" s="52" t="inlineStr">
        <is>
          <t>Requirement-level evidence has not yet been identified for this item in the Phase 1 deliverables. Residual risk: This gap may lead to unclear control scope and incomplete test planning in Phase 2.</t>
        </is>
      </c>
      <c r="H26" s="52" t="inlineStr">
        <is>
          <t>N/A - No requirement-level evidence currently documented in Deliveries/Phase1.</t>
        </is>
      </c>
    </row>
    <row r="27" ht="30" customHeight="1" s="28">
      <c r="A27" s="45" t="inlineStr">
        <is>
          <t>V1.3</t>
        </is>
      </c>
      <c r="B27" s="45" t="inlineStr">
        <is>
          <t>Sanitization</t>
        </is>
      </c>
      <c r="C27" s="46" t="inlineStr">
        <is>
          <t>V1.3.11</t>
        </is>
      </c>
      <c r="D27" s="47" t="inlineStr">
        <is>
          <t>Verify that the application sanitizes user input before passing to mail systems to protect against SMTP or IMAP injection.</t>
        </is>
      </c>
      <c r="E27" s="48" t="n">
        <v>2</v>
      </c>
      <c r="F27" s="49" t="inlineStr">
        <is>
          <t>Not Started</t>
        </is>
      </c>
      <c r="G27" s="47" t="inlineStr">
        <is>
          <t>Requirement-level evidence has not yet been identified for this item in the Phase 1 deliverables. Residual risk: This gap may lead to unclear control scope and incomplete test planning in Phase 2.</t>
        </is>
      </c>
      <c r="H27" s="47" t="inlineStr">
        <is>
          <t>N/A - No requirement-level evidence currently documented in Deliveries/Phase1.</t>
        </is>
      </c>
    </row>
    <row r="28" ht="30" customHeight="1" s="28">
      <c r="A28" s="50" t="inlineStr">
        <is>
          <t>V1.3</t>
        </is>
      </c>
      <c r="B28" s="50" t="inlineStr">
        <is>
          <t>Sanitization</t>
        </is>
      </c>
      <c r="C28" s="51" t="inlineStr">
        <is>
          <t>V1.3.12</t>
        </is>
      </c>
      <c r="D28" s="52" t="inlineStr">
        <is>
          <t>Verify that regular expressions are free from elements causing exponential backtracking, and ensure untrusted input is sanitized to mitigate ReDoS or Runaway Regex attacks.</t>
        </is>
      </c>
      <c r="E28" s="54" t="n">
        <v>3</v>
      </c>
      <c r="F28" s="49" t="inlineStr">
        <is>
          <t>Not Started</t>
        </is>
      </c>
      <c r="G28" s="52" t="inlineStr">
        <is>
          <t>Requirement-level evidence has not yet been identified for this item in the Phase 1 deliverables. Residual risk: This gap may lead to unclear control scope and incomplete test planning in Phase 2.</t>
        </is>
      </c>
      <c r="H28" s="52" t="inlineStr">
        <is>
          <t>N/A - No requirement-level evidence currently documented in Deliveries/Phase1.</t>
        </is>
      </c>
    </row>
    <row r="29" ht="18" customHeight="1" s="28">
      <c r="A29" s="44" t="inlineStr">
        <is>
          <t>V1.4</t>
        </is>
      </c>
      <c r="B29" s="44" t="inlineStr">
        <is>
          <t>Memory, String, and Unmanaged Code</t>
        </is>
      </c>
      <c r="C29" s="44" t="n"/>
      <c r="D29" s="44" t="n"/>
      <c r="E29" s="44" t="n"/>
      <c r="F29" s="44" t="n"/>
      <c r="G29" s="44" t="n"/>
      <c r="H29" s="44" t="n"/>
    </row>
    <row r="30" ht="30" customHeight="1" s="28">
      <c r="A30" s="45" t="inlineStr">
        <is>
          <t>V1.4</t>
        </is>
      </c>
      <c r="B30" s="45" t="inlineStr">
        <is>
          <t>Memory, String, and Unmanaged Code</t>
        </is>
      </c>
      <c r="C30" s="46" t="inlineStr">
        <is>
          <t>V1.4.1</t>
        </is>
      </c>
      <c r="D30" s="47" t="inlineStr">
        <is>
          <t>Verify that the application uses memory-safe string, safer memory copy and pointer arithmetic to detect or prevent stack, buffer, or heap overflows.</t>
        </is>
      </c>
      <c r="E30" s="48" t="n">
        <v>2</v>
      </c>
      <c r="F30" s="49" t="inlineStr">
        <is>
          <t>Not Started</t>
        </is>
      </c>
      <c r="G30" s="47" t="inlineStr">
        <is>
          <t>Requirement-level evidence has not yet been identified for this item in the Phase 1 deliverables. Residual risk: This gap may lead to unclear control scope and incomplete test planning in Phase 2.</t>
        </is>
      </c>
      <c r="H30" s="47" t="inlineStr">
        <is>
          <t>N/A - No requirement-level evidence currently documented in Deliveries/Phase1.</t>
        </is>
      </c>
    </row>
    <row r="31" ht="30" customHeight="1" s="28">
      <c r="A31" s="50" t="inlineStr">
        <is>
          <t>V1.4</t>
        </is>
      </c>
      <c r="B31" s="50" t="inlineStr">
        <is>
          <t>Memory, String, and Unmanaged Code</t>
        </is>
      </c>
      <c r="C31" s="51" t="inlineStr">
        <is>
          <t>V1.4.2</t>
        </is>
      </c>
      <c r="D31" s="52" t="inlineStr">
        <is>
          <t>Verify that sign, range, and input validation techniques are used to prevent integer overflows.</t>
        </is>
      </c>
      <c r="E31" s="48" t="n">
        <v>2</v>
      </c>
      <c r="F31" s="49" t="inlineStr">
        <is>
          <t>Not Started</t>
        </is>
      </c>
      <c r="G31" s="52" t="inlineStr">
        <is>
          <t>Requirement-level evidence has not yet been identified for this item in the Phase 1 deliverables. Residual risk: This gap may lead to unclear control scope and incomplete test planning in Phase 2.</t>
        </is>
      </c>
      <c r="H31" s="52" t="inlineStr">
        <is>
          <t>N/A - No requirement-level evidence currently documented in Deliveries/Phase1.</t>
        </is>
      </c>
    </row>
    <row r="32" ht="30" customHeight="1" s="28">
      <c r="A32" s="45" t="inlineStr">
        <is>
          <t>V1.4</t>
        </is>
      </c>
      <c r="B32" s="45" t="inlineStr">
        <is>
          <t>Memory, String, and Unmanaged Code</t>
        </is>
      </c>
      <c r="C32" s="46" t="inlineStr">
        <is>
          <t>V1.4.3</t>
        </is>
      </c>
      <c r="D32" s="47" t="inlineStr">
        <is>
          <t>Verify that dynamically allocated memory and resources are released, and that references or pointers to freed memory are removed or set to null to prevent dangling pointers and use-after-free vulnerabilities.</t>
        </is>
      </c>
      <c r="E32" s="48" t="n">
        <v>2</v>
      </c>
      <c r="F32" s="49" t="inlineStr">
        <is>
          <t>Not Started</t>
        </is>
      </c>
      <c r="G32" s="47" t="inlineStr">
        <is>
          <t>Requirement-level evidence has not yet been identified for this item in the Phase 1 deliverables. Residual risk: This gap may lead to unclear control scope and incomplete test planning in Phase 2.</t>
        </is>
      </c>
      <c r="H32" s="47" t="inlineStr">
        <is>
          <t>N/A - No requirement-level evidence currently documented in Deliveries/Phase1.</t>
        </is>
      </c>
    </row>
    <row r="33" ht="18" customHeight="1" s="28">
      <c r="A33" s="44" t="inlineStr">
        <is>
          <t>V1.5</t>
        </is>
      </c>
      <c r="B33" s="44" t="inlineStr">
        <is>
          <t>Safe Deserialization</t>
        </is>
      </c>
      <c r="C33" s="44" t="n"/>
      <c r="D33" s="44" t="n"/>
      <c r="E33" s="44" t="n"/>
      <c r="F33" s="44" t="n"/>
      <c r="G33" s="44" t="n"/>
      <c r="H33" s="44" t="n"/>
    </row>
    <row r="34" ht="30" customHeight="1" s="28">
      <c r="A34" s="45" t="inlineStr">
        <is>
          <t>V1.5</t>
        </is>
      </c>
      <c r="B34" s="45" t="inlineStr">
        <is>
          <t>Safe Deserialization</t>
        </is>
      </c>
      <c r="C34" s="46" t="inlineStr">
        <is>
          <t>V1.5.1</t>
        </is>
      </c>
      <c r="D34" s="47" t="inlineStr">
        <is>
          <t>Verify that the application configures XML parsers to use a restrictive configuration and that unsafe features such as resolving external entities are disabled to prevent XML eXternal Entity (XXE) attacks.</t>
        </is>
      </c>
      <c r="E34" s="53" t="n">
        <v>1</v>
      </c>
      <c r="F34" s="49" t="inlineStr">
        <is>
          <t>Not Started</t>
        </is>
      </c>
      <c r="G34" s="47" t="inlineStr">
        <is>
          <t>Requirement-level evidence has not yet been identified for this item in the Phase 1 deliverables. Residual risk: This gap may lead to unclear control scope and incomplete test planning in Phase 2.</t>
        </is>
      </c>
      <c r="H34" s="47" t="inlineStr">
        <is>
          <t>N/A - No requirement-level evidence currently documented in Deliveries/Phase1.</t>
        </is>
      </c>
    </row>
    <row r="35" ht="30" customHeight="1" s="28">
      <c r="A35" s="50" t="inlineStr">
        <is>
          <t>V1.5</t>
        </is>
      </c>
      <c r="B35" s="50" t="inlineStr">
        <is>
          <t>Safe Deserialization</t>
        </is>
      </c>
      <c r="C35" s="51" t="inlineStr">
        <is>
          <t>V1.5.2</t>
        </is>
      </c>
      <c r="D35" s="52" t="inlineStr">
        <is>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is>
      </c>
      <c r="E35" s="48" t="n">
        <v>2</v>
      </c>
      <c r="F35" s="49" t="inlineStr">
        <is>
          <t>Not Started</t>
        </is>
      </c>
      <c r="G35" s="52" t="inlineStr">
        <is>
          <t>Requirement-level evidence has not yet been identified for this item in the Phase 1 deliverables. Residual risk: This gap may lead to unclear control scope and incomplete test planning in Phase 2.</t>
        </is>
      </c>
      <c r="H35" s="52" t="inlineStr">
        <is>
          <t>N/A - No requirement-level evidence currently documented in Deliveries/Phase1.</t>
        </is>
      </c>
    </row>
    <row r="36" ht="30" customHeight="1" s="28">
      <c r="A36" s="45" t="inlineStr">
        <is>
          <t>V1.5</t>
        </is>
      </c>
      <c r="B36" s="45" t="inlineStr">
        <is>
          <t>Safe Deserialization</t>
        </is>
      </c>
      <c r="C36" s="46" t="inlineStr">
        <is>
          <t>V1.5.3</t>
        </is>
      </c>
      <c r="D36" s="47" t="inlineStr">
        <is>
          <t>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is>
      </c>
      <c r="E36" s="54" t="n">
        <v>3</v>
      </c>
      <c r="F36" s="49" t="inlineStr">
        <is>
          <t>Not Started</t>
        </is>
      </c>
      <c r="G36" s="47" t="inlineStr">
        <is>
          <t>Requirement-level evidence has not yet been identified for this item in the Phase 1 deliverables. Residual risk: This gap may lead to unclear control scope and incomplete test planning in Phase 2.</t>
        </is>
      </c>
      <c r="H36" s="47" t="inlineStr">
        <is>
          <t>N/A - No requirement-level evidence currently documented in Deliveries/Phase1.</t>
        </is>
      </c>
    </row>
  </sheetData>
  <conditionalFormatting sqref="F2:F36">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36"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AC18"/>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F3" activeCellId="0" sqref="F3"/>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V2.1</t>
        </is>
      </c>
      <c r="B2" s="44" t="inlineStr">
        <is>
          <t>Validation and Business Logic Documentation</t>
        </is>
      </c>
      <c r="C2" s="44" t="n"/>
      <c r="D2" s="44" t="n"/>
      <c r="E2" s="44" t="n"/>
      <c r="F2" s="44" t="n"/>
      <c r="G2" s="44" t="n"/>
      <c r="H2" s="44" t="n"/>
    </row>
    <row r="3" ht="30" customHeight="1" s="28">
      <c r="A3" s="45" t="inlineStr">
        <is>
          <t>V2.1</t>
        </is>
      </c>
      <c r="B3" s="45" t="inlineStr">
        <is>
          <t>Validation and Business Logic Documentation</t>
        </is>
      </c>
      <c r="C3" s="46" t="inlineStr">
        <is>
          <t>V2.1.1</t>
        </is>
      </c>
      <c r="D3" s="47" t="inlineStr">
        <is>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is>
      </c>
      <c r="E3" s="53" t="n">
        <v>1</v>
      </c>
      <c r="F3" s="49" t="inlineStr">
        <is>
          <t>Compliant</t>
        </is>
      </c>
      <c r="G3" s="47" t="inlineStr">
        <is>
          <t>Explicitly covered by Deliveries documentation with direct ASVS traceability (design-phase evidence). Residual risk: Implementation verification is still pending for Phase 2 execution.</t>
        </is>
      </c>
      <c r="H3" s="47" t="inlineStr">
        <is>
          <t>backend/src/main/java/com/desofs/project/shared/controller/GlobalExceptionHandler.java; backend/src/main/java/com/desofs/project/department/controller/DepartmentController.java; backend/src/main/java/com/desofs/project/document/controller/DocumentController.java</t>
        </is>
      </c>
    </row>
    <row r="4" ht="30" customHeight="1" s="28">
      <c r="A4" s="50" t="inlineStr">
        <is>
          <t>V2.1</t>
        </is>
      </c>
      <c r="B4" s="50" t="inlineStr">
        <is>
          <t>Validation and Business Logic Documentation</t>
        </is>
      </c>
      <c r="C4" s="51" t="inlineStr">
        <is>
          <t>V2.1.2</t>
        </is>
      </c>
      <c r="D4" s="52" t="inlineStr">
        <is>
          <t>Verify that the application's documentation defines how to validate the logical and contextual consistency of combined data items, such as checking that suburb and ZIP code match.</t>
        </is>
      </c>
      <c r="E4" s="48" t="n">
        <v>2</v>
      </c>
      <c r="F4" s="49" t="inlineStr">
        <is>
          <t>Compliant</t>
        </is>
      </c>
      <c r="G4" s="52" t="inlineStr">
        <is>
          <t>Explicitly covered by Deliveries documentation with direct ASVS traceability (design-phase evidence). Residual risk: Implementation verification is still pending for Phase 2 execution.</t>
        </is>
      </c>
      <c r="H4" s="52" t="inlineStr">
        <is>
          <t>backend/src/main/java/com/desofs/project/shared/controller/GlobalExceptionHandler.java; backend/src/main/java/com/desofs/project/department/controller/DepartmentController.java; backend/src/main/java/com/desofs/project/document/controller/DocumentController.java</t>
        </is>
      </c>
    </row>
    <row r="5" ht="30" customHeight="1" s="28">
      <c r="A5" s="45" t="inlineStr">
        <is>
          <t>V2.1</t>
        </is>
      </c>
      <c r="B5" s="45" t="inlineStr">
        <is>
          <t>Validation and Business Logic Documentation</t>
        </is>
      </c>
      <c r="C5" s="46" t="inlineStr">
        <is>
          <t>V2.1.3</t>
        </is>
      </c>
      <c r="D5" s="47" t="inlineStr">
        <is>
          <t>Verify that expectations for business logic limits and validations are documented, including both per-user and globally across the application.</t>
        </is>
      </c>
      <c r="E5" s="48" t="n">
        <v>2</v>
      </c>
      <c r="F5" s="49" t="inlineStr">
        <is>
          <t>Compliant</t>
        </is>
      </c>
      <c r="G5" s="47" t="inlineStr">
        <is>
          <t>Explicitly covered by Deliveries documentation with direct ASVS traceability (design-phase evidence). Residual risk: Implementation verification is still pending for Phase 2 execution.</t>
        </is>
      </c>
      <c r="H5" s="47" t="inlineStr">
        <is>
          <t>backend/src/main/java/com/desofs/project/shared/controller/GlobalExceptionHandler.java; backend/src/main/java/com/desofs/project/department/controller/DepartmentController.java; backend/src/main/java/com/desofs/project/document/controller/DocumentController.java</t>
        </is>
      </c>
    </row>
    <row r="6" ht="18" customHeight="1" s="28">
      <c r="A6" s="44" t="inlineStr">
        <is>
          <t>V2.2</t>
        </is>
      </c>
      <c r="B6" s="44" t="inlineStr">
        <is>
          <t>Input Validation</t>
        </is>
      </c>
      <c r="C6" s="44" t="n"/>
      <c r="D6" s="44" t="n"/>
      <c r="E6" s="44" t="n"/>
      <c r="F6" s="44" t="n"/>
      <c r="G6" s="44" t="n"/>
      <c r="H6" s="44" t="n"/>
    </row>
    <row r="7" ht="30" customHeight="1" s="28">
      <c r="A7" s="45" t="inlineStr">
        <is>
          <t>V2.2</t>
        </is>
      </c>
      <c r="B7" s="45" t="inlineStr">
        <is>
          <t>Input Validation</t>
        </is>
      </c>
      <c r="C7" s="46" t="inlineStr">
        <is>
          <t>V2.2.1</t>
        </is>
      </c>
      <c r="D7" s="47" t="inlineStr">
        <is>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is>
      </c>
      <c r="E7" s="53" t="n">
        <v>1</v>
      </c>
      <c r="F7" s="49" t="inlineStr">
        <is>
          <t>Compliant</t>
        </is>
      </c>
      <c r="G7" s="47" t="inlineStr">
        <is>
          <t>Explicitly covered by Deliveries documentation with direct ASVS traceability (design-phase evidence). Residual risk: Implementation verification is still pending for Phase 2 execution.</t>
        </is>
      </c>
      <c r="H7" s="47" t="inlineStr">
        <is>
          <t>Deliveries/Phase1/traceability-matrix.md (Section 3, traceability matrix, TM-001); Deliveries/Phase1/traceability-matrix.md (Section 3, traceability matrix, TM-025)</t>
        </is>
      </c>
    </row>
    <row r="8" ht="30" customHeight="1" s="28">
      <c r="A8" s="50" t="inlineStr">
        <is>
          <t>V2.2</t>
        </is>
      </c>
      <c r="B8" s="50" t="inlineStr">
        <is>
          <t>Input Validation</t>
        </is>
      </c>
      <c r="C8" s="51" t="inlineStr">
        <is>
          <t>V2.2.2</t>
        </is>
      </c>
      <c r="D8" s="52" t="inlineStr">
        <is>
          <t>Verify that the application is designed to enforce input validation at a trusted service layer. While client-side validation improves usability and should be encouraged, it must not be relied upon as a security control.</t>
        </is>
      </c>
      <c r="E8" s="53" t="n">
        <v>1</v>
      </c>
      <c r="F8" s="49" t="inlineStr">
        <is>
          <t>Compliant</t>
        </is>
      </c>
      <c r="G8" s="52" t="inlineStr">
        <is>
          <t>Explicitly covered by Deliveries documentation with direct ASVS traceability (design-phase evidence). Residual risk: Implementation verification is still pending for Phase 2 execution.</t>
        </is>
      </c>
      <c r="H8" s="52" t="inlineStr">
        <is>
          <t>Deliveries/Phase1/traceability-matrix.md (Section 3, traceability matrix, TM-025)</t>
        </is>
      </c>
    </row>
    <row r="9" ht="30" customHeight="1" s="28">
      <c r="A9" s="45" t="inlineStr">
        <is>
          <t>V2.2</t>
        </is>
      </c>
      <c r="B9" s="45" t="inlineStr">
        <is>
          <t>Input Validation</t>
        </is>
      </c>
      <c r="C9" s="46" t="inlineStr">
        <is>
          <t>V2.2.3</t>
        </is>
      </c>
      <c r="D9" s="47" t="inlineStr">
        <is>
          <t>Verify that the application ensures that combinations of related data items are reasonable according to the pre-defined rules.</t>
        </is>
      </c>
      <c r="E9" s="48" t="n">
        <v>2</v>
      </c>
      <c r="F9" s="49" t="inlineStr">
        <is>
          <t>Compliant</t>
        </is>
      </c>
      <c r="G9" s="47" t="inlineStr">
        <is>
          <t>Explicitly covered by Deliveries documentation with direct ASVS traceability (design-phase evidence). Residual risk: Implementation verification is still pending for Phase 2 execution.</t>
        </is>
      </c>
      <c r="H9" s="47" t="inlineStr">
        <is>
          <t>backend/src/main/java/com/desofs/project/shared/controller/GlobalExceptionHandler.java; backend/src/main/java/com/desofs/project/department/controller/DepartmentController.java; backend/src/main/java/com/desofs/project/document/controller/DocumentController.java</t>
        </is>
      </c>
    </row>
    <row r="10" ht="18" customHeight="1" s="28">
      <c r="A10" s="44" t="inlineStr">
        <is>
          <t>V2.3</t>
        </is>
      </c>
      <c r="B10" s="44" t="inlineStr">
        <is>
          <t>Business Logic Security</t>
        </is>
      </c>
      <c r="C10" s="44" t="n"/>
      <c r="D10" s="44" t="n"/>
      <c r="E10" s="44" t="n"/>
      <c r="F10" s="44" t="n"/>
      <c r="G10" s="44" t="n"/>
      <c r="H10" s="44" t="n"/>
    </row>
    <row r="11" ht="30" customHeight="1" s="28">
      <c r="A11" s="45" t="inlineStr">
        <is>
          <t>V2.3</t>
        </is>
      </c>
      <c r="B11" s="45" t="inlineStr">
        <is>
          <t>Business Logic Security</t>
        </is>
      </c>
      <c r="C11" s="46" t="inlineStr">
        <is>
          <t>V2.3.1</t>
        </is>
      </c>
      <c r="D11" s="47" t="inlineStr">
        <is>
          <t>Verify that the application will only process business logic flows for the same user in the expected sequential step order and without skipping steps.</t>
        </is>
      </c>
      <c r="E11" s="53" t="n">
        <v>1</v>
      </c>
      <c r="F11" s="49" t="inlineStr">
        <is>
          <t>Compliant</t>
        </is>
      </c>
      <c r="G11" s="47" t="inlineStr">
        <is>
          <t>Explicitly covered by Deliveries documentation with direct ASVS traceability (design-phase evidence). Residual risk: Implementation verification is still pending for Phase 2 execution.</t>
        </is>
      </c>
      <c r="H11" s="47" t="inlineStr">
        <is>
          <t>backend/src/main/java/com/desofs/project/shared/controller/GlobalExceptionHandler.java; backend/src/main/java/com/desofs/project/department/controller/DepartmentController.java; backend/src/main/java/com/desofs/project/document/controller/DocumentController.java</t>
        </is>
      </c>
    </row>
    <row r="12" ht="30" customHeight="1" s="28">
      <c r="A12" s="50" t="inlineStr">
        <is>
          <t>V2.3</t>
        </is>
      </c>
      <c r="B12" s="50" t="inlineStr">
        <is>
          <t>Business Logic Security</t>
        </is>
      </c>
      <c r="C12" s="51" t="inlineStr">
        <is>
          <t>V2.3.2</t>
        </is>
      </c>
      <c r="D12" s="52" t="inlineStr">
        <is>
          <t>Verify that business logic limits are implemented per the application's documentation to avoid business logic flaws being exploited.</t>
        </is>
      </c>
      <c r="E12" s="48" t="n">
        <v>2</v>
      </c>
      <c r="F12" s="49" t="inlineStr">
        <is>
          <t>Compliant</t>
        </is>
      </c>
      <c r="G12" s="52" t="inlineStr">
        <is>
          <t>Explicitly covered by Deliveries documentation with direct ASVS traceability (design-phase evidence). Residual risk: Implementation verification is still pending for Phase 2 execution.</t>
        </is>
      </c>
      <c r="H12" s="52" t="inlineStr">
        <is>
          <t>Deliveries/Phase1/traceability-matrix.md (Section 3, traceability matrix, TM-006); Deliveries/Phase1/traceability-matrix.md (Section 3, traceability matrix, TM-030)</t>
        </is>
      </c>
    </row>
    <row r="13" ht="30" customHeight="1" s="28">
      <c r="A13" s="45" t="inlineStr">
        <is>
          <t>V2.3</t>
        </is>
      </c>
      <c r="B13" s="45" t="inlineStr">
        <is>
          <t>Business Logic Security</t>
        </is>
      </c>
      <c r="C13" s="46" t="inlineStr">
        <is>
          <t>V2.3.3</t>
        </is>
      </c>
      <c r="D13" s="47" t="inlineStr">
        <is>
          <t>Verify that transactions are being used at the business logic level such that either a business logic operation succeeds in its entirety or it is rolled back to the previous correct state.</t>
        </is>
      </c>
      <c r="E13" s="48" t="n">
        <v>2</v>
      </c>
      <c r="F13" s="49" t="inlineStr">
        <is>
          <t>Compliant</t>
        </is>
      </c>
      <c r="G13" s="47" t="inlineStr">
        <is>
          <t>Explicitly covered by Deliveries documentation with direct ASVS traceability (design-phase evidence). Residual risk: Implementation verification is still pending for Phase 2 execution.</t>
        </is>
      </c>
      <c r="H13" s="47" t="inlineStr">
        <is>
          <t>Deliveries/Phase1/traceability-matrix.md (Section 3, traceability matrix, TM-014); Deliveries/Phase1/traceability-matrix.md (Section 3, traceability matrix, TM-030)</t>
        </is>
      </c>
    </row>
    <row r="14" ht="30" customHeight="1" s="28">
      <c r="A14" s="50" t="inlineStr">
        <is>
          <t>V2.3</t>
        </is>
      </c>
      <c r="B14" s="50" t="inlineStr">
        <is>
          <t>Business Logic Security</t>
        </is>
      </c>
      <c r="C14" s="51" t="inlineStr">
        <is>
          <t>V2.3.4</t>
        </is>
      </c>
      <c r="D14" s="52" t="inlineStr">
        <is>
          <t>Verify that business logic level locking mechanisms are used to ensure that limited quantity resources (such as theater seats or delivery slots) cannot be double-booked by manipulating the application's logic.</t>
        </is>
      </c>
      <c r="E14" s="48" t="n">
        <v>2</v>
      </c>
      <c r="F14" s="49" t="inlineStr">
        <is>
          <t>Compliant</t>
        </is>
      </c>
      <c r="G14" s="52" t="inlineStr">
        <is>
          <t>Explicitly covered by Deliveries documentation with direct ASVS traceability (design-phase evidence). Residual risk: Implementation verification is still pending for Phase 2 execution.</t>
        </is>
      </c>
      <c r="H14" s="52" t="inlineStr">
        <is>
          <t>backend/src/main/java/com/desofs/project/shared/controller/GlobalExceptionHandler.java; backend/src/main/java/com/desofs/project/department/controller/DepartmentController.java; backend/src/main/java/com/desofs/project/document/controller/DocumentController.java</t>
        </is>
      </c>
    </row>
    <row r="15" ht="30" customHeight="1" s="28">
      <c r="A15" s="45" t="inlineStr">
        <is>
          <t>V2.3</t>
        </is>
      </c>
      <c r="B15" s="45" t="inlineStr">
        <is>
          <t>Business Logic Security</t>
        </is>
      </c>
      <c r="C15" s="46" t="inlineStr">
        <is>
          <t>V2.3.5</t>
        </is>
      </c>
      <c r="D15" s="47" t="inlineStr">
        <is>
          <t>Verify that high-value business logic flows require multi-user approval to prevent unauthorized or accidental actions. This could include but is not limited to large monetary transfers, contract approvals, access to classified information, or safety overrides in manufacturing.</t>
        </is>
      </c>
      <c r="E15" s="54" t="n">
        <v>3</v>
      </c>
      <c r="F15" s="49" t="inlineStr">
        <is>
          <t>Compliant</t>
        </is>
      </c>
      <c r="G15" s="47" t="inlineStr">
        <is>
          <t>Explicitly covered by Deliveries documentation with direct ASVS traceability (design-phase evidence). Residual risk: Implementation verification is still pending for Phase 2 execution.</t>
        </is>
      </c>
      <c r="H15" s="47" t="inlineStr">
        <is>
          <t>backend/src/main/java/com/desofs/project/shared/controller/GlobalExceptionHandler.java; backend/src/main/java/com/desofs/project/department/controller/DepartmentController.java; backend/src/main/java/com/desofs/project/document/controller/DocumentController.java</t>
        </is>
      </c>
    </row>
    <row r="16" ht="18" customHeight="1" s="28">
      <c r="A16" s="44" t="inlineStr">
        <is>
          <t>V2.4</t>
        </is>
      </c>
      <c r="B16" s="44" t="inlineStr">
        <is>
          <t>Anti-automation</t>
        </is>
      </c>
      <c r="C16" s="44" t="n"/>
      <c r="D16" s="44" t="n"/>
      <c r="E16" s="44" t="n"/>
      <c r="F16" s="44" t="n"/>
      <c r="G16" s="44" t="n"/>
      <c r="H16" s="44" t="n"/>
    </row>
    <row r="17" ht="30" customHeight="1" s="28">
      <c r="A17" s="45" t="inlineStr">
        <is>
          <t>V2.4</t>
        </is>
      </c>
      <c r="B17" s="45" t="inlineStr">
        <is>
          <t>Anti-automation</t>
        </is>
      </c>
      <c r="C17" s="46" t="inlineStr">
        <is>
          <t>V2.4.1</t>
        </is>
      </c>
      <c r="D17" s="47" t="inlineStr">
        <is>
          <t>Verify that anti-automation controls are in place to protect against excessive calls to application functions that could lead to data exfiltration, garbage-data creation, quota exhaustion, rate-limit breaches, denial-of-service, or overuse of costly resources.</t>
        </is>
      </c>
      <c r="E17" s="48" t="n">
        <v>2</v>
      </c>
      <c r="F17" s="49" t="inlineStr">
        <is>
          <t>Compliant</t>
        </is>
      </c>
      <c r="G17" s="47" t="inlineStr">
        <is>
          <t>Explicitly covered by Deliveries documentation with direct ASVS traceability (design-phase evidence). Residual risk: Implementation verification is still pending for Phase 2 execution.</t>
        </is>
      </c>
      <c r="H17" s="47" t="inlineStr">
        <is>
          <t>backend/src/main/java/com/desofs/project/shared/controller/GlobalExceptionHandler.java; backend/src/main/java/com/desofs/project/department/controller/DepartmentController.java; backend/src/main/java/com/desofs/project/document/controller/DocumentController.java</t>
        </is>
      </c>
    </row>
    <row r="18" ht="30" customHeight="1" s="28">
      <c r="A18" s="50" t="inlineStr">
        <is>
          <t>V2.4</t>
        </is>
      </c>
      <c r="B18" s="50" t="inlineStr">
        <is>
          <t>Anti-automation</t>
        </is>
      </c>
      <c r="C18" s="51" t="inlineStr">
        <is>
          <t>V2.4.2</t>
        </is>
      </c>
      <c r="D18" s="52" t="inlineStr">
        <is>
          <t>Verify that business logic flows require realistic human timing, preventing excessively rapid transaction submissions.</t>
        </is>
      </c>
      <c r="E18" s="54" t="n">
        <v>3</v>
      </c>
      <c r="F18" s="49" t="inlineStr">
        <is>
          <t>Compliant</t>
        </is>
      </c>
      <c r="G18" s="52" t="inlineStr">
        <is>
          <t>Explicitly covered by Deliveries documentation with direct ASVS traceability (design-phase evidence). Residual risk: Implementation verification is still pending for Phase 2 execution.</t>
        </is>
      </c>
      <c r="H18" s="52" t="inlineStr">
        <is>
          <t>backend/src/main/java/com/desofs/project/shared/controller/GlobalExceptionHandler.java; backend/src/main/java/com/desofs/project/department/controller/DepartmentController.java; backend/src/main/java/com/desofs/project/document/controller/DocumentController.java</t>
        </is>
      </c>
    </row>
  </sheetData>
  <conditionalFormatting sqref="F2:F18">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18"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AC39"/>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V3.1</t>
        </is>
      </c>
      <c r="B2" s="44" t="inlineStr">
        <is>
          <t>Web Frontend Security Documentation</t>
        </is>
      </c>
      <c r="C2" s="44" t="n"/>
      <c r="D2" s="44" t="n"/>
      <c r="E2" s="44" t="n"/>
      <c r="F2" s="44" t="n"/>
      <c r="G2" s="44" t="n"/>
      <c r="H2" s="44" t="n"/>
    </row>
    <row r="3" ht="30" customHeight="1" s="28">
      <c r="A3" s="45" t="inlineStr">
        <is>
          <t>V3.1</t>
        </is>
      </c>
      <c r="B3" s="45" t="inlineStr">
        <is>
          <t>Web Frontend Security Documentation</t>
        </is>
      </c>
      <c r="C3" s="46" t="inlineStr">
        <is>
          <t>V3.1.1</t>
        </is>
      </c>
      <c r="D3" s="47" t="inlineStr">
        <is>
          <t>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is>
      </c>
      <c r="E3" s="54" t="n">
        <v>3</v>
      </c>
      <c r="F3" s="49" t="inlineStr">
        <is>
          <t>Not Applicable</t>
        </is>
      </c>
      <c r="G3" s="47" t="inlineStr">
        <is>
          <t>Phase 1 scope documents a backend REST architecture; no browser frontend component is in documented scope. Residual risk: Reassess if solution scope expands beyond backend REST APIs.</t>
        </is>
      </c>
      <c r="H3" s="47" t="inlineStr">
        <is>
          <t>Deliveries/Phase1/secure-architecture-and-ddr.md (Section: Phase 1 - Secure Architecture and Design Decision Records &gt; 1. Target Architecture Overview)</t>
        </is>
      </c>
    </row>
    <row r="4" ht="18" customHeight="1" s="28">
      <c r="A4" s="44" t="inlineStr">
        <is>
          <t>V3.2</t>
        </is>
      </c>
      <c r="B4" s="44" t="inlineStr">
        <is>
          <t>Unintended Content Interpretation</t>
        </is>
      </c>
      <c r="C4" s="44" t="n"/>
      <c r="D4" s="44" t="n"/>
      <c r="E4" s="44" t="n"/>
      <c r="F4" s="44" t="n"/>
      <c r="G4" s="44" t="n"/>
      <c r="H4" s="44" t="n"/>
    </row>
    <row r="5" ht="30" customHeight="1" s="28">
      <c r="A5" s="45" t="inlineStr">
        <is>
          <t>V3.2</t>
        </is>
      </c>
      <c r="B5" s="45" t="inlineStr">
        <is>
          <t>Unintended Content Interpretation</t>
        </is>
      </c>
      <c r="C5" s="46" t="inlineStr">
        <is>
          <t>V3.2.1</t>
        </is>
      </c>
      <c r="D5" s="47" t="inlineStr">
        <is>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is>
      </c>
      <c r="E5" s="53" t="n">
        <v>1</v>
      </c>
      <c r="F5" s="49" t="inlineStr">
        <is>
          <t>Not Applicable</t>
        </is>
      </c>
      <c r="G5" s="47" t="inlineStr">
        <is>
          <t>Phase 1 scope documents a backend REST architecture; no browser frontend component is in documented scope. Residual risk: Reassess if solution scope expands beyond backend REST APIs.</t>
        </is>
      </c>
      <c r="H5" s="47" t="inlineStr">
        <is>
          <t>Deliveries/Phase1/secure-architecture-and-ddr.md (Section: Phase 1 - Secure Architecture and Design Decision Records &gt; 1. Target Architecture Overview)</t>
        </is>
      </c>
    </row>
    <row r="6" ht="30" customHeight="1" s="28">
      <c r="A6" s="50" t="inlineStr">
        <is>
          <t>V3.2</t>
        </is>
      </c>
      <c r="B6" s="50" t="inlineStr">
        <is>
          <t>Unintended Content Interpretation</t>
        </is>
      </c>
      <c r="C6" s="51" t="inlineStr">
        <is>
          <t>V3.2.2</t>
        </is>
      </c>
      <c r="D6" s="52" t="inlineStr">
        <is>
          <t>Verify that content intended to be displayed as text, rather than rendered as HTML, is handled using safe rendering functions (such as createTextNode or textContent) to prevent unintended execution of content such as HTML or JavaScript.</t>
        </is>
      </c>
      <c r="E6" s="53" t="n">
        <v>1</v>
      </c>
      <c r="F6" s="49" t="inlineStr">
        <is>
          <t>Not Applicable</t>
        </is>
      </c>
      <c r="G6" s="52" t="inlineStr">
        <is>
          <t>Phase 1 scope documents a backend REST architecture; no browser frontend component is in documented scope. Residual risk: Reassess if solution scope expands beyond backend REST APIs.</t>
        </is>
      </c>
      <c r="H6" s="52" t="inlineStr">
        <is>
          <t>Deliveries/Phase1/secure-architecture-and-ddr.md (Section: Phase 1 - Secure Architecture and Design Decision Records &gt; 1. Target Architecture Overview)</t>
        </is>
      </c>
    </row>
    <row r="7" ht="30" customHeight="1" s="28">
      <c r="A7" s="45" t="inlineStr">
        <is>
          <t>V3.2</t>
        </is>
      </c>
      <c r="B7" s="45" t="inlineStr">
        <is>
          <t>Unintended Content Interpretation</t>
        </is>
      </c>
      <c r="C7" s="46" t="inlineStr">
        <is>
          <t>V3.2.3</t>
        </is>
      </c>
      <c r="D7" s="47" t="inlineStr">
        <is>
          <t>Verify that the application avoids DOM clobbering when using client-side JavaScript by employing explicit variable declarations, performing strict type checking, avoiding storing global variables on the document object, and implementing namespace isolation.</t>
        </is>
      </c>
      <c r="E7" s="54" t="n">
        <v>3</v>
      </c>
      <c r="F7" s="49" t="inlineStr">
        <is>
          <t>Not Applicable</t>
        </is>
      </c>
      <c r="G7" s="47" t="inlineStr">
        <is>
          <t>Phase 1 scope documents a backend REST architecture; no browser frontend component is in documented scope. Residual risk: Reassess if solution scope expands beyond backend REST APIs.</t>
        </is>
      </c>
      <c r="H7" s="47" t="inlineStr">
        <is>
          <t>Deliveries/Phase1/secure-architecture-and-ddr.md (Section: Phase 1 - Secure Architecture and Design Decision Records &gt; 1. Target Architecture Overview)</t>
        </is>
      </c>
    </row>
    <row r="8" ht="18" customHeight="1" s="28">
      <c r="A8" s="44" t="inlineStr">
        <is>
          <t>V3.3</t>
        </is>
      </c>
      <c r="B8" s="44" t="inlineStr">
        <is>
          <t>Cookie Setup</t>
        </is>
      </c>
      <c r="C8" s="44" t="n"/>
      <c r="D8" s="44" t="n"/>
      <c r="E8" s="44" t="n"/>
      <c r="F8" s="44" t="n"/>
      <c r="G8" s="44" t="n"/>
      <c r="H8" s="44" t="n"/>
    </row>
    <row r="9" ht="30" customHeight="1" s="28">
      <c r="A9" s="45" t="inlineStr">
        <is>
          <t>V3.3</t>
        </is>
      </c>
      <c r="B9" s="45" t="inlineStr">
        <is>
          <t>Cookie Setup</t>
        </is>
      </c>
      <c r="C9" s="46" t="inlineStr">
        <is>
          <t>V3.3.1</t>
        </is>
      </c>
      <c r="D9" s="47" t="inlineStr">
        <is>
          <t>Verify that cookies have the 'Secure' attribute set, and if the '\__Host-' prefix is not used for the cookie name, the '__Secure-' prefix must be used for the cookie name.</t>
        </is>
      </c>
      <c r="E9" s="53" t="n">
        <v>1</v>
      </c>
      <c r="F9" s="49" t="inlineStr">
        <is>
          <t>Not Applicable</t>
        </is>
      </c>
      <c r="G9" s="47" t="inlineStr">
        <is>
          <t>Phase 1 scope documents a backend REST architecture; no browser frontend component is in documented scope. Residual risk: Reassess if solution scope expands beyond backend REST APIs.</t>
        </is>
      </c>
      <c r="H9" s="47" t="inlineStr">
        <is>
          <t>Deliveries/Phase1/secure-architecture-and-ddr.md (Section: Phase 1 - Secure Architecture and Design Decision Records &gt; 1. Target Architecture Overview)</t>
        </is>
      </c>
    </row>
    <row r="10" ht="30" customHeight="1" s="28">
      <c r="A10" s="50" t="inlineStr">
        <is>
          <t>V3.3</t>
        </is>
      </c>
      <c r="B10" s="50" t="inlineStr">
        <is>
          <t>Cookie Setup</t>
        </is>
      </c>
      <c r="C10" s="51" t="inlineStr">
        <is>
          <t>V3.3.2</t>
        </is>
      </c>
      <c r="D10" s="52" t="inlineStr">
        <is>
          <t>Verify that each cookie's 'SameSite' attribute value is set according to the purpose of the cookie, to limit exposure to user interface redress attacks and browser-based request forgery attacks, commonly known as cross-site request forgery (CSRF).</t>
        </is>
      </c>
      <c r="E10" s="48" t="n">
        <v>2</v>
      </c>
      <c r="F10" s="49" t="inlineStr">
        <is>
          <t>Not Applicable</t>
        </is>
      </c>
      <c r="G10" s="52" t="inlineStr">
        <is>
          <t>Phase 1 scope documents a backend REST architecture; no browser frontend component is in documented scope. Residual risk: Reassess if solution scope expands beyond backend REST APIs.</t>
        </is>
      </c>
      <c r="H10" s="52" t="inlineStr">
        <is>
          <t>Deliveries/Phase1/secure-architecture-and-ddr.md (Section: Phase 1 - Secure Architecture and Design Decision Records &gt; 1. Target Architecture Overview)</t>
        </is>
      </c>
    </row>
    <row r="11" ht="30" customHeight="1" s="28">
      <c r="A11" s="45" t="inlineStr">
        <is>
          <t>V3.3</t>
        </is>
      </c>
      <c r="B11" s="45" t="inlineStr">
        <is>
          <t>Cookie Setup</t>
        </is>
      </c>
      <c r="C11" s="46" t="inlineStr">
        <is>
          <t>V3.3.3</t>
        </is>
      </c>
      <c r="D11" s="47" t="inlineStr">
        <is>
          <t>Verify that cookies have the '__Host-' prefix for the cookie name unless they are explicitly designed to be shared with other hosts.</t>
        </is>
      </c>
      <c r="E11" s="48" t="n">
        <v>2</v>
      </c>
      <c r="F11" s="49" t="inlineStr">
        <is>
          <t>Not Applicable</t>
        </is>
      </c>
      <c r="G11" s="47" t="inlineStr">
        <is>
          <t>Phase 1 scope documents a backend REST architecture; no browser frontend component is in documented scope. Residual risk: Reassess if solution scope expands beyond backend REST APIs.</t>
        </is>
      </c>
      <c r="H11" s="47" t="inlineStr">
        <is>
          <t>Deliveries/Phase1/secure-architecture-and-ddr.md (Section: Phase 1 - Secure Architecture and Design Decision Records &gt; 1. Target Architecture Overview)</t>
        </is>
      </c>
    </row>
    <row r="12" ht="30" customHeight="1" s="28">
      <c r="A12" s="50" t="inlineStr">
        <is>
          <t>V3.3</t>
        </is>
      </c>
      <c r="B12" s="50" t="inlineStr">
        <is>
          <t>Cookie Setup</t>
        </is>
      </c>
      <c r="C12" s="51" t="inlineStr">
        <is>
          <t>V3.3.4</t>
        </is>
      </c>
      <c r="D12" s="52" t="inlineStr">
        <is>
          <t>Verify that if the value of a cookie is not meant to be accessible to client-side scripts (such as a session token), the cookie must have the 'HttpOnly' attribute set and the same value (e. g. session token) must only be transferred to the client via the 'Set-Cookie' header field.</t>
        </is>
      </c>
      <c r="E12" s="48" t="n">
        <v>2</v>
      </c>
      <c r="F12" s="49" t="inlineStr">
        <is>
          <t>Not Applicable</t>
        </is>
      </c>
      <c r="G12" s="52" t="inlineStr">
        <is>
          <t>Phase 1 scope documents a backend REST architecture; no browser frontend component is in documented scope. Residual risk: Reassess if solution scope expands beyond backend REST APIs.</t>
        </is>
      </c>
      <c r="H12" s="52" t="inlineStr">
        <is>
          <t>Deliveries/Phase1/secure-architecture-and-ddr.md (Section: Phase 1 - Secure Architecture and Design Decision Records &gt; 1. Target Architecture Overview)</t>
        </is>
      </c>
    </row>
    <row r="13" ht="30" customHeight="1" s="28">
      <c r="A13" s="45" t="inlineStr">
        <is>
          <t>V3.3</t>
        </is>
      </c>
      <c r="B13" s="45" t="inlineStr">
        <is>
          <t>Cookie Setup</t>
        </is>
      </c>
      <c r="C13" s="46" t="inlineStr">
        <is>
          <t>V3.3.5</t>
        </is>
      </c>
      <c r="D13" s="47" t="inlineStr">
        <is>
          <t>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is>
      </c>
      <c r="E13" s="54" t="n">
        <v>3</v>
      </c>
      <c r="F13" s="49" t="inlineStr">
        <is>
          <t>Not Applicable</t>
        </is>
      </c>
      <c r="G13" s="47" t="inlineStr">
        <is>
          <t>Phase 1 scope documents a backend REST architecture; no browser frontend component is in documented scope. Residual risk: Reassess if solution scope expands beyond backend REST APIs.</t>
        </is>
      </c>
      <c r="H13" s="47" t="inlineStr">
        <is>
          <t>Deliveries/Phase1/secure-architecture-and-ddr.md (Section: Phase 1 - Secure Architecture and Design Decision Records &gt; 1. Target Architecture Overview)</t>
        </is>
      </c>
    </row>
    <row r="14" ht="18" customHeight="1" s="28">
      <c r="A14" s="44" t="inlineStr">
        <is>
          <t>V3.4</t>
        </is>
      </c>
      <c r="B14" s="44" t="inlineStr">
        <is>
          <t>Browser Security Mechanism Headers</t>
        </is>
      </c>
      <c r="C14" s="44" t="n"/>
      <c r="D14" s="44" t="n"/>
      <c r="E14" s="44" t="n"/>
      <c r="F14" s="44" t="n"/>
      <c r="G14" s="44" t="n"/>
      <c r="H14" s="44" t="n"/>
    </row>
    <row r="15" ht="30" customHeight="1" s="28">
      <c r="A15" s="45" t="inlineStr">
        <is>
          <t>V3.4</t>
        </is>
      </c>
      <c r="B15" s="45" t="inlineStr">
        <is>
          <t>Browser Security Mechanism Headers</t>
        </is>
      </c>
      <c r="C15" s="46" t="inlineStr">
        <is>
          <t>V3.4.1</t>
        </is>
      </c>
      <c r="D15" s="47" t="inlineStr">
        <is>
          <t>Verify that a Strict-Transport-Security header field is included on all responses to enforce an HTTP Strict Transport Security (HSTS) policy. A maximum age of at least 1 year must be defined, and for L2 and up, the policy must apply to all subdomains as well.</t>
        </is>
      </c>
      <c r="E15" s="53" t="n">
        <v>1</v>
      </c>
      <c r="F15" s="49" t="inlineStr">
        <is>
          <t>Not Applicable</t>
        </is>
      </c>
      <c r="G15" s="47" t="inlineStr">
        <is>
          <t>Phase 1 scope documents a backend REST architecture; no browser frontend component is in documented scope. Residual risk: Reassess if solution scope expands beyond backend REST APIs.</t>
        </is>
      </c>
      <c r="H15" s="47" t="inlineStr">
        <is>
          <t>Deliveries/Phase1/secure-architecture-and-ddr.md (Section: Phase 1 - Secure Architecture and Design Decision Records &gt; 1. Target Architecture Overview)</t>
        </is>
      </c>
    </row>
    <row r="16" ht="30" customHeight="1" s="28">
      <c r="A16" s="50" t="inlineStr">
        <is>
          <t>V3.4</t>
        </is>
      </c>
      <c r="B16" s="50" t="inlineStr">
        <is>
          <t>Browser Security Mechanism Headers</t>
        </is>
      </c>
      <c r="C16" s="51" t="inlineStr">
        <is>
          <t>V3.4.2</t>
        </is>
      </c>
      <c r="D16" s="52" t="inlineStr">
        <is>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is>
      </c>
      <c r="E16" s="53" t="n">
        <v>1</v>
      </c>
      <c r="F16" s="49" t="inlineStr">
        <is>
          <t>Not Applicable</t>
        </is>
      </c>
      <c r="G16" s="52" t="inlineStr">
        <is>
          <t>Phase 1 scope documents a backend REST architecture; no browser frontend component is in documented scope. Residual risk: Reassess if solution scope expands beyond backend REST APIs.</t>
        </is>
      </c>
      <c r="H16" s="52" t="inlineStr">
        <is>
          <t>Deliveries/Phase1/secure-architecture-and-ddr.md (Section: Phase 1 - Secure Architecture and Design Decision Records &gt; 1. Target Architecture Overview)</t>
        </is>
      </c>
    </row>
    <row r="17" ht="30" customHeight="1" s="28">
      <c r="A17" s="45" t="inlineStr">
        <is>
          <t>V3.4</t>
        </is>
      </c>
      <c r="B17" s="45" t="inlineStr">
        <is>
          <t>Browser Security Mechanism Headers</t>
        </is>
      </c>
      <c r="C17" s="46" t="inlineStr">
        <is>
          <t>V3.4.3</t>
        </is>
      </c>
      <c r="D17" s="47" t="inlineStr">
        <is>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is>
      </c>
      <c r="E17" s="48" t="n">
        <v>2</v>
      </c>
      <c r="F17" s="49" t="inlineStr">
        <is>
          <t>Not Applicable</t>
        </is>
      </c>
      <c r="G17" s="47" t="inlineStr">
        <is>
          <t>Phase 1 scope documents a backend REST architecture; no browser frontend component is in documented scope. Residual risk: Reassess if solution scope expands beyond backend REST APIs.</t>
        </is>
      </c>
      <c r="H17" s="47" t="inlineStr">
        <is>
          <t>Deliveries/Phase1/secure-architecture-and-ddr.md (Section: Phase 1 - Secure Architecture and Design Decision Records &gt; 1. Target Architecture Overview)</t>
        </is>
      </c>
    </row>
    <row r="18" ht="30" customHeight="1" s="28">
      <c r="A18" s="50" t="inlineStr">
        <is>
          <t>V3.4</t>
        </is>
      </c>
      <c r="B18" s="50" t="inlineStr">
        <is>
          <t>Browser Security Mechanism Headers</t>
        </is>
      </c>
      <c r="C18" s="51" t="inlineStr">
        <is>
          <t>V3.4.4</t>
        </is>
      </c>
      <c r="D18" s="52" t="inlineStr">
        <is>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is>
      </c>
      <c r="E18" s="48" t="n">
        <v>2</v>
      </c>
      <c r="F18" s="49" t="inlineStr">
        <is>
          <t>Not Applicable</t>
        </is>
      </c>
      <c r="G18" s="52" t="inlineStr">
        <is>
          <t>Phase 1 scope documents a backend REST architecture; no browser frontend component is in documented scope. Residual risk: Reassess if solution scope expands beyond backend REST APIs.</t>
        </is>
      </c>
      <c r="H18" s="52" t="inlineStr">
        <is>
          <t>Deliveries/Phase1/secure-architecture-and-ddr.md (Section: Phase 1 - Secure Architecture and Design Decision Records &gt; 1. Target Architecture Overview)</t>
        </is>
      </c>
    </row>
    <row r="19" ht="30" customHeight="1" s="28">
      <c r="A19" s="45" t="inlineStr">
        <is>
          <t>V3.4</t>
        </is>
      </c>
      <c r="B19" s="45" t="inlineStr">
        <is>
          <t>Browser Security Mechanism Headers</t>
        </is>
      </c>
      <c r="C19" s="46" t="inlineStr">
        <is>
          <t>V3.4.5</t>
        </is>
      </c>
      <c r="D19" s="47" t="inlineStr">
        <is>
          <t>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is>
      </c>
      <c r="E19" s="48" t="n">
        <v>2</v>
      </c>
      <c r="F19" s="49" t="inlineStr">
        <is>
          <t>Not Applicable</t>
        </is>
      </c>
      <c r="G19" s="47" t="inlineStr">
        <is>
          <t>Phase 1 scope documents a backend REST architecture; no browser frontend component is in documented scope. Residual risk: Reassess if solution scope expands beyond backend REST APIs.</t>
        </is>
      </c>
      <c r="H19" s="47" t="inlineStr">
        <is>
          <t>Deliveries/Phase1/secure-architecture-and-ddr.md (Section: Phase 1 - Secure Architecture and Design Decision Records &gt; 1. Target Architecture Overview)</t>
        </is>
      </c>
    </row>
    <row r="20" ht="30" customHeight="1" s="28">
      <c r="A20" s="50" t="inlineStr">
        <is>
          <t>V3.4</t>
        </is>
      </c>
      <c r="B20" s="50" t="inlineStr">
        <is>
          <t>Browser Security Mechanism Headers</t>
        </is>
      </c>
      <c r="C20" s="51" t="inlineStr">
        <is>
          <t>V3.4.6</t>
        </is>
      </c>
      <c r="D20" s="52" t="inlineStr">
        <is>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is>
      </c>
      <c r="E20" s="48" t="n">
        <v>2</v>
      </c>
      <c r="F20" s="49" t="inlineStr">
        <is>
          <t>Not Applicable</t>
        </is>
      </c>
      <c r="G20" s="52" t="inlineStr">
        <is>
          <t>Phase 1 scope documents a backend REST architecture; no browser frontend component is in documented scope. Residual risk: Reassess if solution scope expands beyond backend REST APIs.</t>
        </is>
      </c>
      <c r="H20" s="52" t="inlineStr">
        <is>
          <t>Deliveries/Phase1/secure-architecture-and-ddr.md (Section: Phase 1 - Secure Architecture and Design Decision Records &gt; 1. Target Architecture Overview)</t>
        </is>
      </c>
    </row>
    <row r="21" ht="30" customHeight="1" s="28">
      <c r="A21" s="45" t="inlineStr">
        <is>
          <t>V3.4</t>
        </is>
      </c>
      <c r="B21" s="45" t="inlineStr">
        <is>
          <t>Browser Security Mechanism Headers</t>
        </is>
      </c>
      <c r="C21" s="46" t="inlineStr">
        <is>
          <t>V3.4.7</t>
        </is>
      </c>
      <c r="D21" s="47" t="inlineStr">
        <is>
          <t>Verify that the Content-Security-Policy header field specifies a location to report violations.</t>
        </is>
      </c>
      <c r="E21" s="54" t="n">
        <v>3</v>
      </c>
      <c r="F21" s="49" t="inlineStr">
        <is>
          <t>Not Applicable</t>
        </is>
      </c>
      <c r="G21" s="47" t="inlineStr">
        <is>
          <t>Phase 1 scope documents a backend REST architecture; no browser frontend component is in documented scope. Residual risk: Reassess if solution scope expands beyond backend REST APIs.</t>
        </is>
      </c>
      <c r="H21" s="47" t="inlineStr">
        <is>
          <t>Deliveries/Phase1/secure-architecture-and-ddr.md (Section: Phase 1 - Secure Architecture and Design Decision Records &gt; 1. Target Architecture Overview)</t>
        </is>
      </c>
    </row>
    <row r="22" ht="30" customHeight="1" s="28">
      <c r="A22" s="50" t="inlineStr">
        <is>
          <t>V3.4</t>
        </is>
      </c>
      <c r="B22" s="50" t="inlineStr">
        <is>
          <t>Browser Security Mechanism Headers</t>
        </is>
      </c>
      <c r="C22" s="51" t="inlineStr">
        <is>
          <t>V3.4.8</t>
        </is>
      </c>
      <c r="D22" s="52" t="inlineStr">
        <is>
          <t>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is>
      </c>
      <c r="E22" s="54" t="n">
        <v>3</v>
      </c>
      <c r="F22" s="49" t="inlineStr">
        <is>
          <t>Not Applicable</t>
        </is>
      </c>
      <c r="G22" s="52" t="inlineStr">
        <is>
          <t>Phase 1 scope documents a backend REST architecture; no browser frontend component is in documented scope. Residual risk: Reassess if solution scope expands beyond backend REST APIs.</t>
        </is>
      </c>
      <c r="H22" s="52" t="inlineStr">
        <is>
          <t>Deliveries/Phase1/secure-architecture-and-ddr.md (Section: Phase 1 - Secure Architecture and Design Decision Records &gt; 1. Target Architecture Overview)</t>
        </is>
      </c>
    </row>
    <row r="23" ht="18" customHeight="1" s="28">
      <c r="A23" s="44" t="inlineStr">
        <is>
          <t>V3.5</t>
        </is>
      </c>
      <c r="B23" s="44" t="inlineStr">
        <is>
          <t>Browser Origin Separation</t>
        </is>
      </c>
      <c r="C23" s="44" t="n"/>
      <c r="D23" s="44" t="n"/>
      <c r="E23" s="44" t="n"/>
      <c r="F23" s="44" t="n"/>
      <c r="G23" s="44" t="n"/>
      <c r="H23" s="44" t="n"/>
    </row>
    <row r="24" ht="30" customHeight="1" s="28">
      <c r="A24" s="45" t="inlineStr">
        <is>
          <t>V3.5</t>
        </is>
      </c>
      <c r="B24" s="45" t="inlineStr">
        <is>
          <t>Browser Origin Separation</t>
        </is>
      </c>
      <c r="C24" s="46" t="inlineStr">
        <is>
          <t>V3.5.1</t>
        </is>
      </c>
      <c r="D24" s="47" t="inlineStr">
        <is>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is>
      </c>
      <c r="E24" s="53" t="n">
        <v>1</v>
      </c>
      <c r="F24" s="49" t="inlineStr">
        <is>
          <t>Not Applicable</t>
        </is>
      </c>
      <c r="G24" s="47" t="inlineStr">
        <is>
          <t>Phase 1 scope documents a backend REST architecture; no browser frontend component is in documented scope. Residual risk: Reassess if solution scope expands beyond backend REST APIs.</t>
        </is>
      </c>
      <c r="H24" s="47" t="inlineStr">
        <is>
          <t>Deliveries/Phase1/secure-architecture-and-ddr.md (Section: Phase 1 - Secure Architecture and Design Decision Records &gt; 1. Target Architecture Overview)</t>
        </is>
      </c>
    </row>
    <row r="25" ht="30" customHeight="1" s="28">
      <c r="A25" s="50" t="inlineStr">
        <is>
          <t>V3.5</t>
        </is>
      </c>
      <c r="B25" s="50" t="inlineStr">
        <is>
          <t>Browser Origin Separation</t>
        </is>
      </c>
      <c r="C25" s="51" t="inlineStr">
        <is>
          <t>V3.5.2</t>
        </is>
      </c>
      <c r="D25" s="52" t="inlineStr">
        <is>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is>
      </c>
      <c r="E25" s="53" t="n">
        <v>1</v>
      </c>
      <c r="F25" s="49" t="inlineStr">
        <is>
          <t>Not Applicable</t>
        </is>
      </c>
      <c r="G25" s="52" t="inlineStr">
        <is>
          <t>Phase 1 scope documents a backend REST architecture; no browser frontend component is in documented scope. Residual risk: Reassess if solution scope expands beyond backend REST APIs.</t>
        </is>
      </c>
      <c r="H25" s="52" t="inlineStr">
        <is>
          <t>Deliveries/Phase1/secure-architecture-and-ddr.md (Section: Phase 1 - Secure Architecture and Design Decision Records &gt; 1. Target Architecture Overview)</t>
        </is>
      </c>
    </row>
    <row r="26" ht="30" customHeight="1" s="28">
      <c r="A26" s="45" t="inlineStr">
        <is>
          <t>V3.5</t>
        </is>
      </c>
      <c r="B26" s="45" t="inlineStr">
        <is>
          <t>Browser Origin Separation</t>
        </is>
      </c>
      <c r="C26" s="46" t="inlineStr">
        <is>
          <t>V3.5.3</t>
        </is>
      </c>
      <c r="D26" s="47" t="inlineStr">
        <is>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is>
      </c>
      <c r="E26" s="53" t="n">
        <v>1</v>
      </c>
      <c r="F26" s="49" t="inlineStr">
        <is>
          <t>Not Applicable</t>
        </is>
      </c>
      <c r="G26" s="47" t="inlineStr">
        <is>
          <t>Phase 1 scope documents a backend REST architecture; no browser frontend component is in documented scope. Residual risk: Reassess if solution scope expands beyond backend REST APIs.</t>
        </is>
      </c>
      <c r="H26" s="47" t="inlineStr">
        <is>
          <t>Deliveries/Phase1/secure-architecture-and-ddr.md (Section: Phase 1 - Secure Architecture and Design Decision Records &gt; 1. Target Architecture Overview)</t>
        </is>
      </c>
    </row>
    <row r="27" ht="30" customHeight="1" s="28">
      <c r="A27" s="50" t="inlineStr">
        <is>
          <t>V3.5</t>
        </is>
      </c>
      <c r="B27" s="50" t="inlineStr">
        <is>
          <t>Browser Origin Separation</t>
        </is>
      </c>
      <c r="C27" s="51" t="inlineStr">
        <is>
          <t>V3.5.4</t>
        </is>
      </c>
      <c r="D27" s="52" t="inlineStr">
        <is>
          <t>Verify that separate applications are hosted on different hostnames to leverage the restrictions provided by same-origin policy, including how documents or scripts loaded by one origin can interact with resources from another origin and hostname-based restrictions on cookies.</t>
        </is>
      </c>
      <c r="E27" s="48" t="n">
        <v>2</v>
      </c>
      <c r="F27" s="49" t="inlineStr">
        <is>
          <t>Not Applicable</t>
        </is>
      </c>
      <c r="G27" s="52" t="inlineStr">
        <is>
          <t>Phase 1 scope documents a backend REST architecture; no browser frontend component is in documented scope. Residual risk: Reassess if solution scope expands beyond backend REST APIs.</t>
        </is>
      </c>
      <c r="H27" s="52" t="inlineStr">
        <is>
          <t>Deliveries/Phase1/secure-architecture-and-ddr.md (Section: Phase 1 - Secure Architecture and Design Decision Records &gt; 1. Target Architecture Overview)</t>
        </is>
      </c>
    </row>
    <row r="28" ht="30" customHeight="1" s="28">
      <c r="A28" s="45" t="inlineStr">
        <is>
          <t>V3.5</t>
        </is>
      </c>
      <c r="B28" s="45" t="inlineStr">
        <is>
          <t>Browser Origin Separation</t>
        </is>
      </c>
      <c r="C28" s="46" t="inlineStr">
        <is>
          <t>V3.5.5</t>
        </is>
      </c>
      <c r="D28" s="47" t="inlineStr">
        <is>
          <t>Verify that messages received by the postMessage interface are discarded if the origin of the message is not trusted, or if the syntax of the message is invalid.</t>
        </is>
      </c>
      <c r="E28" s="48" t="n">
        <v>2</v>
      </c>
      <c r="F28" s="49" t="inlineStr">
        <is>
          <t>Not Applicable</t>
        </is>
      </c>
      <c r="G28" s="47" t="inlineStr">
        <is>
          <t>Phase 1 scope documents a backend REST architecture; no browser frontend component is in documented scope. Residual risk: Reassess if solution scope expands beyond backend REST APIs.</t>
        </is>
      </c>
      <c r="H28" s="47" t="inlineStr">
        <is>
          <t>Deliveries/Phase1/secure-architecture-and-ddr.md (Section: Phase 1 - Secure Architecture and Design Decision Records &gt; 1. Target Architecture Overview)</t>
        </is>
      </c>
    </row>
    <row r="29" ht="30" customHeight="1" s="28">
      <c r="A29" s="50" t="inlineStr">
        <is>
          <t>V3.5</t>
        </is>
      </c>
      <c r="B29" s="50" t="inlineStr">
        <is>
          <t>Browser Origin Separation</t>
        </is>
      </c>
      <c r="C29" s="51" t="inlineStr">
        <is>
          <t>V3.5.6</t>
        </is>
      </c>
      <c r="D29" s="52" t="inlineStr">
        <is>
          <t>Verify that JSONP functionality is not enabled anywhere across the application to avoid Cross-Site Script Inclusion (XSSI) attacks.</t>
        </is>
      </c>
      <c r="E29" s="54" t="n">
        <v>3</v>
      </c>
      <c r="F29" s="49" t="inlineStr">
        <is>
          <t>Not Applicable</t>
        </is>
      </c>
      <c r="G29" s="52" t="inlineStr">
        <is>
          <t>Phase 1 scope documents a backend REST architecture; no browser frontend component is in documented scope. Residual risk: Reassess if solution scope expands beyond backend REST APIs.</t>
        </is>
      </c>
      <c r="H29" s="52" t="inlineStr">
        <is>
          <t>Deliveries/Phase1/secure-architecture-and-ddr.md (Section: Phase 1 - Secure Architecture and Design Decision Records &gt; 1. Target Architecture Overview)</t>
        </is>
      </c>
    </row>
    <row r="30" ht="30" customHeight="1" s="28">
      <c r="A30" s="45" t="inlineStr">
        <is>
          <t>V3.5</t>
        </is>
      </c>
      <c r="B30" s="45" t="inlineStr">
        <is>
          <t>Browser Origin Separation</t>
        </is>
      </c>
      <c r="C30" s="46" t="inlineStr">
        <is>
          <t>V3.5.7</t>
        </is>
      </c>
      <c r="D30" s="47" t="inlineStr">
        <is>
          <t>Verify that data requiring authorization is not included in script resource responses, like JavaScript files, to prevent Cross-Site Script Inclusion (XSSI) attacks.</t>
        </is>
      </c>
      <c r="E30" s="54" t="n">
        <v>3</v>
      </c>
      <c r="F30" s="49" t="inlineStr">
        <is>
          <t>Not Applicable</t>
        </is>
      </c>
      <c r="G30" s="47" t="inlineStr">
        <is>
          <t>Phase 1 scope documents a backend REST architecture; no browser frontend component is in documented scope. Residual risk: Reassess if solution scope expands beyond backend REST APIs.</t>
        </is>
      </c>
      <c r="H30" s="47" t="inlineStr">
        <is>
          <t>Deliveries/Phase1/secure-architecture-and-ddr.md (Section: Phase 1 - Secure Architecture and Design Decision Records &gt; 1. Target Architecture Overview)</t>
        </is>
      </c>
    </row>
    <row r="31" ht="30" customHeight="1" s="28">
      <c r="A31" s="50" t="inlineStr">
        <is>
          <t>V3.5</t>
        </is>
      </c>
      <c r="B31" s="50" t="inlineStr">
        <is>
          <t>Browser Origin Separation</t>
        </is>
      </c>
      <c r="C31" s="51" t="inlineStr">
        <is>
          <t>V3.5.8</t>
        </is>
      </c>
      <c r="D31" s="52" t="inlineStr">
        <is>
          <t>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is>
      </c>
      <c r="E31" s="54" t="n">
        <v>3</v>
      </c>
      <c r="F31" s="49" t="inlineStr">
        <is>
          <t>Not Applicable</t>
        </is>
      </c>
      <c r="G31" s="52" t="inlineStr">
        <is>
          <t>Phase 1 scope documents a backend REST architecture; no browser frontend component is in documented scope. Residual risk: Reassess if solution scope expands beyond backend REST APIs.</t>
        </is>
      </c>
      <c r="H31" s="52" t="inlineStr">
        <is>
          <t>Deliveries/Phase1/secure-architecture-and-ddr.md (Section: Phase 1 - Secure Architecture and Design Decision Records &gt; 1. Target Architecture Overview)</t>
        </is>
      </c>
    </row>
    <row r="32" ht="18" customHeight="1" s="28">
      <c r="A32" s="44" t="inlineStr">
        <is>
          <t>V3.6</t>
        </is>
      </c>
      <c r="B32" s="44" t="inlineStr">
        <is>
          <t>External Resource Integrity</t>
        </is>
      </c>
      <c r="C32" s="44" t="n"/>
      <c r="D32" s="44" t="n"/>
      <c r="E32" s="44" t="n"/>
      <c r="F32" s="44" t="n"/>
      <c r="G32" s="44" t="n"/>
      <c r="H32" s="44" t="n"/>
    </row>
    <row r="33" ht="30" customHeight="1" s="28">
      <c r="A33" s="45" t="inlineStr">
        <is>
          <t>V3.6</t>
        </is>
      </c>
      <c r="B33" s="45" t="inlineStr">
        <is>
          <t>External Resource Integrity</t>
        </is>
      </c>
      <c r="C33" s="46" t="inlineStr">
        <is>
          <t>V3.6.1</t>
        </is>
      </c>
      <c r="D33" s="47" t="inlineStr">
        <is>
          <t>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is>
      </c>
      <c r="E33" s="54" t="n">
        <v>3</v>
      </c>
      <c r="F33" s="49" t="inlineStr">
        <is>
          <t>Not Applicable</t>
        </is>
      </c>
      <c r="G33" s="47" t="inlineStr">
        <is>
          <t>Phase 1 scope documents a backend REST architecture; no browser frontend component is in documented scope. Residual risk: Reassess if solution scope expands beyond backend REST APIs.</t>
        </is>
      </c>
      <c r="H33" s="47" t="inlineStr">
        <is>
          <t>Deliveries/Phase1/secure-architecture-and-ddr.md (Section: Phase 1 - Secure Architecture and Design Decision Records &gt; 1. Target Architecture Overview)</t>
        </is>
      </c>
    </row>
    <row r="34" ht="18" customHeight="1" s="28">
      <c r="A34" s="44" t="inlineStr">
        <is>
          <t>V3.7</t>
        </is>
      </c>
      <c r="B34" s="44" t="inlineStr">
        <is>
          <t>Other Browser Security Considerations</t>
        </is>
      </c>
      <c r="C34" s="44" t="n"/>
      <c r="D34" s="44" t="n"/>
      <c r="E34" s="44" t="n"/>
      <c r="F34" s="44" t="n"/>
      <c r="G34" s="44" t="n"/>
      <c r="H34" s="44" t="n"/>
    </row>
    <row r="35" ht="30" customHeight="1" s="28">
      <c r="A35" s="45" t="inlineStr">
        <is>
          <t>V3.7</t>
        </is>
      </c>
      <c r="B35" s="45" t="inlineStr">
        <is>
          <t>Other Browser Security Considerations</t>
        </is>
      </c>
      <c r="C35" s="46" t="inlineStr">
        <is>
          <t>V3.7.1</t>
        </is>
      </c>
      <c r="D35" s="47" t="inlineStr">
        <is>
          <t>Verify that the application only uses client-side technologies which are still supported and considered secure. Examples of technologies which do not meet this requirement include NSAPI plugins, Flash, Shockwave, ActiveX, Silverlight, NACL, or client-side Java applets.</t>
        </is>
      </c>
      <c r="E35" s="48" t="n">
        <v>2</v>
      </c>
      <c r="F35" s="49" t="inlineStr">
        <is>
          <t>Not Applicable</t>
        </is>
      </c>
      <c r="G35" s="47" t="inlineStr">
        <is>
          <t>Phase 1 scope documents a backend REST architecture; no browser frontend component is in documented scope. Residual risk: Reassess if solution scope expands beyond backend REST APIs.</t>
        </is>
      </c>
      <c r="H35" s="47" t="inlineStr">
        <is>
          <t>Deliveries/Phase1/secure-architecture-and-ddr.md (Section: Phase 1 - Secure Architecture and Design Decision Records &gt; 1. Target Architecture Overview)</t>
        </is>
      </c>
    </row>
    <row r="36" ht="30" customHeight="1" s="28">
      <c r="A36" s="50" t="inlineStr">
        <is>
          <t>V3.7</t>
        </is>
      </c>
      <c r="B36" s="50" t="inlineStr">
        <is>
          <t>Other Browser Security Considerations</t>
        </is>
      </c>
      <c r="C36" s="51" t="inlineStr">
        <is>
          <t>V3.7.2</t>
        </is>
      </c>
      <c r="D36" s="52" t="inlineStr">
        <is>
          <t>Verify that the application will only automatically redirect the user to a different hostname or domain (which is not controlled by the application) where the destination appears on an allowlist.</t>
        </is>
      </c>
      <c r="E36" s="48" t="n">
        <v>2</v>
      </c>
      <c r="F36" s="49" t="inlineStr">
        <is>
          <t>Not Applicable</t>
        </is>
      </c>
      <c r="G36" s="52" t="inlineStr">
        <is>
          <t>Phase 1 scope documents a backend REST architecture; no browser frontend component is in documented scope. Residual risk: Reassess if solution scope expands beyond backend REST APIs.</t>
        </is>
      </c>
      <c r="H36" s="52" t="inlineStr">
        <is>
          <t>Deliveries/Phase1/secure-architecture-and-ddr.md (Section: Phase 1 - Secure Architecture and Design Decision Records &gt; 1. Target Architecture Overview)</t>
        </is>
      </c>
    </row>
    <row r="37" ht="30" customHeight="1" s="28">
      <c r="A37" s="45" t="inlineStr">
        <is>
          <t>V3.7</t>
        </is>
      </c>
      <c r="B37" s="45" t="inlineStr">
        <is>
          <t>Other Browser Security Considerations</t>
        </is>
      </c>
      <c r="C37" s="46" t="inlineStr">
        <is>
          <t>V3.7.3</t>
        </is>
      </c>
      <c r="D37" s="47" t="inlineStr">
        <is>
          <t>Verify that the application shows a notification when the user is being redirected to a URL outside of the application's control, with an option to cancel the navigation.</t>
        </is>
      </c>
      <c r="E37" s="54" t="n">
        <v>3</v>
      </c>
      <c r="F37" s="49" t="inlineStr">
        <is>
          <t>Not Applicable</t>
        </is>
      </c>
      <c r="G37" s="47" t="inlineStr">
        <is>
          <t>Phase 1 scope documents a backend REST architecture; no browser frontend component is in documented scope. Residual risk: Reassess if solution scope expands beyond backend REST APIs.</t>
        </is>
      </c>
      <c r="H37" s="47" t="inlineStr">
        <is>
          <t>Deliveries/Phase1/secure-architecture-and-ddr.md (Section: Phase 1 - Secure Architecture and Design Decision Records &gt; 1. Target Architecture Overview)</t>
        </is>
      </c>
    </row>
    <row r="38" ht="30" customHeight="1" s="28">
      <c r="A38" s="50" t="inlineStr">
        <is>
          <t>V3.7</t>
        </is>
      </c>
      <c r="B38" s="50" t="inlineStr">
        <is>
          <t>Other Browser Security Considerations</t>
        </is>
      </c>
      <c r="C38" s="51" t="inlineStr">
        <is>
          <t>V3.7.4</t>
        </is>
      </c>
      <c r="D38" s="52" t="inlineStr">
        <is>
          <t>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is>
      </c>
      <c r="E38" s="54" t="n">
        <v>3</v>
      </c>
      <c r="F38" s="49" t="inlineStr">
        <is>
          <t>Not Applicable</t>
        </is>
      </c>
      <c r="G38" s="52" t="inlineStr">
        <is>
          <t>Phase 1 scope documents a backend REST architecture; no browser frontend component is in documented scope. Residual risk: Reassess if solution scope expands beyond backend REST APIs.</t>
        </is>
      </c>
      <c r="H38" s="52" t="inlineStr">
        <is>
          <t>Deliveries/Phase1/secure-architecture-and-ddr.md (Section: Phase 1 - Secure Architecture and Design Decision Records &gt; 1. Target Architecture Overview)</t>
        </is>
      </c>
    </row>
    <row r="39" ht="30" customHeight="1" s="28">
      <c r="A39" s="45" t="inlineStr">
        <is>
          <t>V3.7</t>
        </is>
      </c>
      <c r="B39" s="45" t="inlineStr">
        <is>
          <t>Other Browser Security Considerations</t>
        </is>
      </c>
      <c r="C39" s="46" t="inlineStr">
        <is>
          <t>V3.7.5</t>
        </is>
      </c>
      <c r="D39" s="47" t="inlineStr">
        <is>
          <t>Verify that the application behaves as documented (such as warning the user or blocking access) if the browser used to access the application does not support the expected security features.</t>
        </is>
      </c>
      <c r="E39" s="54" t="n">
        <v>3</v>
      </c>
      <c r="F39" s="49" t="inlineStr">
        <is>
          <t>Not Applicable</t>
        </is>
      </c>
      <c r="G39" s="47" t="inlineStr">
        <is>
          <t>Phase 1 scope documents a backend REST architecture; no browser frontend component is in documented scope. Residual risk: Reassess if solution scope expands beyond backend REST APIs.</t>
        </is>
      </c>
      <c r="H39" s="47" t="inlineStr">
        <is>
          <t>Deliveries/Phase1/secure-architecture-and-ddr.md (Section: Phase 1 - Secure Architecture and Design Decision Records &gt; 1. Target Architecture Overview)</t>
        </is>
      </c>
    </row>
  </sheetData>
  <conditionalFormatting sqref="F2:F39">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39"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C21"/>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V4.1</t>
        </is>
      </c>
      <c r="B2" s="44" t="inlineStr">
        <is>
          <t>Generic Web Service Security</t>
        </is>
      </c>
      <c r="C2" s="44" t="n"/>
      <c r="D2" s="44" t="n"/>
      <c r="E2" s="44" t="n"/>
      <c r="F2" s="44" t="n"/>
      <c r="G2" s="44" t="n"/>
      <c r="H2" s="44" t="n"/>
    </row>
    <row r="3" ht="30" customHeight="1" s="28">
      <c r="A3" s="45" t="inlineStr">
        <is>
          <t>V4.1</t>
        </is>
      </c>
      <c r="B3" s="45" t="inlineStr">
        <is>
          <t>Generic Web Service Security</t>
        </is>
      </c>
      <c r="C3" s="46" t="inlineStr">
        <is>
          <t>V4.1.1</t>
        </is>
      </c>
      <c r="D3" s="47" t="inlineStr">
        <is>
          <t>Verify that every HTTP response with a message body contains a Content-Type header field that matches the actual content of the response, including the charset parameter to specify safe character encoding (e.g., UTF-8, ISO-8859-1) according to IANA Media Types, such as "text/", "/+xml" and "/xml".</t>
        </is>
      </c>
      <c r="E3" s="53" t="n">
        <v>1</v>
      </c>
      <c r="F3" s="49" t="inlineStr">
        <is>
          <t>Not Started</t>
        </is>
      </c>
      <c r="G3" s="47" t="inlineStr">
        <is>
          <t>Requirement-level evidence has not yet been identified for this item in the Phase 1 deliverables. Residual risk: This gap may lead to unclear control scope and incomplete test planning in Phase 2.</t>
        </is>
      </c>
      <c r="H3" s="47" t="inlineStr">
        <is>
          <t>N/A - No requirement-level evidence currently documented in Deliveries/Phase1.</t>
        </is>
      </c>
    </row>
    <row r="4" ht="30" customHeight="1" s="28">
      <c r="A4" s="50" t="inlineStr">
        <is>
          <t>V4.1</t>
        </is>
      </c>
      <c r="B4" s="50" t="inlineStr">
        <is>
          <t>Generic Web Service Security</t>
        </is>
      </c>
      <c r="C4" s="51" t="inlineStr">
        <is>
          <t>V4.1.2</t>
        </is>
      </c>
      <c r="D4" s="52" t="inlineStr">
        <is>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is>
      </c>
      <c r="E4" s="48" t="n">
        <v>2</v>
      </c>
      <c r="F4" s="49" t="inlineStr">
        <is>
          <t>Compliant</t>
        </is>
      </c>
      <c r="G4" s="52" t="inlineStr">
        <is>
          <t>Explicitly covered by Deliveries documentation with direct ASVS traceability (design-phase evidence). Residual risk: Implementation verification is still pending for Phase 2 execution.</t>
        </is>
      </c>
      <c r="H4" s="52" t="inlineStr">
        <is>
          <t>backend/src/main/java/com/desofs/project/config/SecurityConfig.java; backend/src/main/java/com/desofs/project/user/controller/AuthController.java; backend/src/main/java/com/desofs/project/shared/controller/GlobalExceptionHandler.java</t>
        </is>
      </c>
    </row>
    <row r="5" ht="30" customHeight="1" s="28">
      <c r="A5" s="45" t="inlineStr">
        <is>
          <t>V4.1</t>
        </is>
      </c>
      <c r="B5" s="45" t="inlineStr">
        <is>
          <t>Generic Web Service Security</t>
        </is>
      </c>
      <c r="C5" s="46" t="inlineStr">
        <is>
          <t>V4.1.3</t>
        </is>
      </c>
      <c r="D5" s="47" t="inlineStr">
        <is>
          <t>Verify that any HTTP header field used by the application and set by an intermediary layer, such as a load balancer, a web proxy, or a backend-for-frontend service, cannot be overridden by the end-user. Example headers might include X-Real-IP, X-Forwarded-*, or X-User-ID.</t>
        </is>
      </c>
      <c r="E5" s="48" t="n">
        <v>2</v>
      </c>
      <c r="F5" s="49" t="inlineStr">
        <is>
          <t>Not Started</t>
        </is>
      </c>
      <c r="G5" s="47" t="inlineStr">
        <is>
          <t>Requirement-level evidence has not yet been identified for this item in the Phase 1 deliverables. Residual risk: This gap may lead to unclear control scope and incomplete test planning in Phase 2.</t>
        </is>
      </c>
      <c r="H5" s="47" t="inlineStr">
        <is>
          <t>N/A - No requirement-level evidence currently documented in Deliveries/Phase1.</t>
        </is>
      </c>
    </row>
    <row r="6" ht="30" customHeight="1" s="28">
      <c r="A6" s="50" t="inlineStr">
        <is>
          <t>V4.1</t>
        </is>
      </c>
      <c r="B6" s="50" t="inlineStr">
        <is>
          <t>Generic Web Service Security</t>
        </is>
      </c>
      <c r="C6" s="51" t="inlineStr">
        <is>
          <t>V4.1.4</t>
        </is>
      </c>
      <c r="D6" s="52" t="inlineStr">
        <is>
          <t>Verify that only HTTP methods that are explicitly supported by the application or its API (including OPTIONS during preflight requests) can be used and that unused methods are blocked.</t>
        </is>
      </c>
      <c r="E6" s="54" t="n">
        <v>3</v>
      </c>
      <c r="F6" s="49" t="inlineStr">
        <is>
          <t>Not Started</t>
        </is>
      </c>
      <c r="G6" s="52" t="inlineStr">
        <is>
          <t>Requirement-level evidence has not yet been identified for this item in the Phase 1 deliverables. Residual risk: This gap may lead to unclear control scope and incomplete test planning in Phase 2.</t>
        </is>
      </c>
      <c r="H6" s="52" t="inlineStr">
        <is>
          <t>N/A - No requirement-level evidence currently documented in Deliveries/Phase1.</t>
        </is>
      </c>
    </row>
    <row r="7" ht="30" customHeight="1" s="28">
      <c r="A7" s="45" t="inlineStr">
        <is>
          <t>V4.1</t>
        </is>
      </c>
      <c r="B7" s="45" t="inlineStr">
        <is>
          <t>Generic Web Service Security</t>
        </is>
      </c>
      <c r="C7" s="46" t="inlineStr">
        <is>
          <t>V4.1.5</t>
        </is>
      </c>
      <c r="D7" s="47" t="inlineStr">
        <is>
          <t>Verify that per-message digital signatures are used to provide additional assurance on top of transport protections for requests or transactions which are highly sensitive or which traverse a number of systems.</t>
        </is>
      </c>
      <c r="E7" s="54" t="n">
        <v>3</v>
      </c>
      <c r="F7" s="49" t="inlineStr">
        <is>
          <t>Not Started</t>
        </is>
      </c>
      <c r="G7" s="47" t="inlineStr">
        <is>
          <t>Requirement-level evidence has not yet been identified for this item in the Phase 1 deliverables. Residual risk: This gap may lead to unclear control scope and incomplete test planning in Phase 2.</t>
        </is>
      </c>
      <c r="H7" s="47" t="inlineStr">
        <is>
          <t>N/A - No requirement-level evidence currently documented in Deliveries/Phase1.</t>
        </is>
      </c>
    </row>
    <row r="8" ht="18" customHeight="1" s="28">
      <c r="A8" s="44" t="inlineStr">
        <is>
          <t>V4.2</t>
        </is>
      </c>
      <c r="B8" s="44" t="inlineStr">
        <is>
          <t>HTTP Message Structure Validation</t>
        </is>
      </c>
      <c r="C8" s="44" t="n"/>
      <c r="D8" s="44" t="n"/>
      <c r="E8" s="44" t="n"/>
      <c r="F8" s="44" t="n"/>
      <c r="G8" s="44" t="n"/>
      <c r="H8" s="44" t="n"/>
    </row>
    <row r="9" ht="30" customHeight="1" s="28">
      <c r="A9" s="45" t="inlineStr">
        <is>
          <t>V4.2</t>
        </is>
      </c>
      <c r="B9" s="45" t="inlineStr">
        <is>
          <t>HTTP Message Structure Validation</t>
        </is>
      </c>
      <c r="C9" s="46" t="inlineStr">
        <is>
          <t>V4.2.1</t>
        </is>
      </c>
      <c r="D9" s="47" t="inlineStr">
        <is>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is>
      </c>
      <c r="E9" s="48" t="n">
        <v>2</v>
      </c>
      <c r="F9" s="49" t="inlineStr">
        <is>
          <t>Not Started</t>
        </is>
      </c>
      <c r="G9" s="47" t="inlineStr">
        <is>
          <t>Requirement-level evidence has not yet been identified for this item in the Phase 1 deliverables. Residual risk: This gap may lead to unclear control scope and incomplete test planning in Phase 2.</t>
        </is>
      </c>
      <c r="H9" s="47" t="inlineStr">
        <is>
          <t>N/A - No requirement-level evidence currently documented in Deliveries/Phase1.</t>
        </is>
      </c>
    </row>
    <row r="10" ht="30" customHeight="1" s="28">
      <c r="A10" s="50" t="inlineStr">
        <is>
          <t>V4.2</t>
        </is>
      </c>
      <c r="B10" s="50" t="inlineStr">
        <is>
          <t>HTTP Message Structure Validation</t>
        </is>
      </c>
      <c r="C10" s="51" t="inlineStr">
        <is>
          <t>V4.2.2</t>
        </is>
      </c>
      <c r="D10" s="52" t="inlineStr">
        <is>
          <t>Verify that when generating HTTP messages, the Content-Length header field does not conflict with the length of the content as determined by the framing of the HTTP protocol, in order to prevent request smuggling attacks.</t>
        </is>
      </c>
      <c r="E10" s="54" t="n">
        <v>3</v>
      </c>
      <c r="F10" s="49" t="inlineStr">
        <is>
          <t>Not Started</t>
        </is>
      </c>
      <c r="G10" s="52" t="inlineStr">
        <is>
          <t>Requirement-level evidence has not yet been identified for this item in the Phase 1 deliverables. Residual risk: This gap may lead to unclear control scope and incomplete test planning in Phase 2.</t>
        </is>
      </c>
      <c r="H10" s="52" t="inlineStr">
        <is>
          <t>N/A - No requirement-level evidence currently documented in Deliveries/Phase1.</t>
        </is>
      </c>
    </row>
    <row r="11" ht="30" customHeight="1" s="28">
      <c r="A11" s="45" t="inlineStr">
        <is>
          <t>V4.2</t>
        </is>
      </c>
      <c r="B11" s="45" t="inlineStr">
        <is>
          <t>HTTP Message Structure Validation</t>
        </is>
      </c>
      <c r="C11" s="46" t="inlineStr">
        <is>
          <t>V4.2.3</t>
        </is>
      </c>
      <c r="D11" s="47" t="inlineStr">
        <is>
          <t>Verify that the application does not send nor accept HTTP/2 or HTTP/3 messages with connection-specific header fields such as Transfer-Encoding to prevent response splitting and header injection attacks.</t>
        </is>
      </c>
      <c r="E11" s="54" t="n">
        <v>3</v>
      </c>
      <c r="F11" s="49" t="inlineStr">
        <is>
          <t>Not Started</t>
        </is>
      </c>
      <c r="G11" s="47" t="inlineStr">
        <is>
          <t>Requirement-level evidence has not yet been identified for this item in the Phase 1 deliverables. Residual risk: This gap may lead to unclear control scope and incomplete test planning in Phase 2.</t>
        </is>
      </c>
      <c r="H11" s="47" t="inlineStr">
        <is>
          <t>N/A - No requirement-level evidence currently documented in Deliveries/Phase1.</t>
        </is>
      </c>
    </row>
    <row r="12" ht="30" customHeight="1" s="28">
      <c r="A12" s="50" t="inlineStr">
        <is>
          <t>V4.2</t>
        </is>
      </c>
      <c r="B12" s="50" t="inlineStr">
        <is>
          <t>HTTP Message Structure Validation</t>
        </is>
      </c>
      <c r="C12" s="51" t="inlineStr">
        <is>
          <t>V4.2.4</t>
        </is>
      </c>
      <c r="D12" s="52" t="inlineStr">
        <is>
          <t>Verify that the application only accepts HTTP/2 and HTTP/3 requests where the header fields and values do not contain any CR (\r), LF (\n), or CRLF (\r\n) sequences, to prevent header injection attacks.</t>
        </is>
      </c>
      <c r="E12" s="54" t="n">
        <v>3</v>
      </c>
      <c r="F12" s="49" t="inlineStr">
        <is>
          <t>Not Started</t>
        </is>
      </c>
      <c r="G12" s="52" t="inlineStr">
        <is>
          <t>Requirement-level evidence has not yet been identified for this item in the Phase 1 deliverables. Residual risk: This gap may lead to unclear control scope and incomplete test planning in Phase 2.</t>
        </is>
      </c>
      <c r="H12" s="52" t="inlineStr">
        <is>
          <t>N/A - No requirement-level evidence currently documented in Deliveries/Phase1.</t>
        </is>
      </c>
    </row>
    <row r="13" ht="30" customHeight="1" s="28">
      <c r="A13" s="45" t="inlineStr">
        <is>
          <t>V4.2</t>
        </is>
      </c>
      <c r="B13" s="45" t="inlineStr">
        <is>
          <t>HTTP Message Structure Validation</t>
        </is>
      </c>
      <c r="C13" s="46" t="inlineStr">
        <is>
          <t>V4.2.5</t>
        </is>
      </c>
      <c r="D13" s="47" t="inlineStr">
        <is>
          <t>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is>
      </c>
      <c r="E13" s="54" t="n">
        <v>3</v>
      </c>
      <c r="F13" s="49" t="inlineStr">
        <is>
          <t>Not Started</t>
        </is>
      </c>
      <c r="G13" s="47" t="inlineStr">
        <is>
          <t>Requirement-level evidence has not yet been identified for this item in the Phase 1 deliverables. Residual risk: This gap may lead to unclear control scope and incomplete test planning in Phase 2.</t>
        </is>
      </c>
      <c r="H13" s="47" t="inlineStr">
        <is>
          <t>N/A - No requirement-level evidence currently documented in Deliveries/Phase1.</t>
        </is>
      </c>
    </row>
    <row r="14" ht="18" customHeight="1" s="28">
      <c r="A14" s="44" t="inlineStr">
        <is>
          <t>V4.3</t>
        </is>
      </c>
      <c r="B14" s="44" t="inlineStr">
        <is>
          <t>GraphQL</t>
        </is>
      </c>
      <c r="C14" s="44" t="n"/>
      <c r="D14" s="44" t="n"/>
      <c r="E14" s="44" t="n"/>
      <c r="F14" s="44" t="n"/>
      <c r="G14" s="44" t="n"/>
      <c r="H14" s="44" t="n"/>
    </row>
    <row r="15" ht="30" customHeight="1" s="28">
      <c r="A15" s="45" t="inlineStr">
        <is>
          <t>V4.3</t>
        </is>
      </c>
      <c r="B15" s="45" t="inlineStr">
        <is>
          <t>GraphQL</t>
        </is>
      </c>
      <c r="C15" s="46" t="inlineStr">
        <is>
          <t>V4.3.1</t>
        </is>
      </c>
      <c r="D15" s="47" t="inlineStr">
        <is>
          <t>Verify that a query allowlist, depth limiting, amount limiting, or query cost analysis is used to prevent GraphQL or data layer expression Denial of Service (DoS) as a result of expensive, nested queries.</t>
        </is>
      </c>
      <c r="E15" s="48" t="n">
        <v>2</v>
      </c>
      <c r="F15" s="49" t="inlineStr">
        <is>
          <t>Not Applicable</t>
        </is>
      </c>
      <c r="G15" s="47" t="inlineStr">
        <is>
          <t>Out of scope for the documented Phase 1 architecture. The system is specified as a REST API and does not define GraphQL endpoints or GraphQL data-layer query execution.</t>
        </is>
      </c>
      <c r="H15" s="47" t="inlineStr">
        <is>
          <t>Deliveries/Phase1/requirements.md (Section 1, secure REST API scope); Deliveries/Phase1/secure-architecture-and-ddr.md (Section 1, API layer and authenticated REST boundaries)</t>
        </is>
      </c>
    </row>
    <row r="16" ht="30" customHeight="1" s="28">
      <c r="A16" s="50" t="inlineStr">
        <is>
          <t>V4.3</t>
        </is>
      </c>
      <c r="B16" s="50" t="inlineStr">
        <is>
          <t>GraphQL</t>
        </is>
      </c>
      <c r="C16" s="51" t="inlineStr">
        <is>
          <t>V4.3.2</t>
        </is>
      </c>
      <c r="D16" s="52" t="inlineStr">
        <is>
          <t>Verify that GraphQL introspection queries are disabled in the production environment unless the GraphQL API is meant to be used by other parties.</t>
        </is>
      </c>
      <c r="E16" s="48" t="n">
        <v>2</v>
      </c>
      <c r="F16" s="49" t="inlineStr">
        <is>
          <t>Not Applicable</t>
        </is>
      </c>
      <c r="G16" s="52" t="inlineStr">
        <is>
          <t>Out of scope for the documented Phase 1 architecture. The system is specified as a REST API and does not define GraphQL endpoints or GraphQL introspection behavior.</t>
        </is>
      </c>
      <c r="H16" s="52" t="inlineStr">
        <is>
          <t>Deliveries/Phase1/requirements.md (Section 1, secure REST API scope); Deliveries/Phase1/secure-architecture-and-ddr.md (Section 1, API layer and authenticated REST boundaries)</t>
        </is>
      </c>
    </row>
    <row r="17" ht="18" customHeight="1" s="28">
      <c r="A17" s="44" t="inlineStr">
        <is>
          <t>V4.4</t>
        </is>
      </c>
      <c r="B17" s="44" t="inlineStr">
        <is>
          <t>WebSocket</t>
        </is>
      </c>
      <c r="C17" s="44" t="n"/>
      <c r="D17" s="44" t="n"/>
      <c r="E17" s="44" t="n"/>
      <c r="F17" s="44" t="n"/>
      <c r="G17" s="44" t="n"/>
      <c r="H17" s="44" t="n"/>
    </row>
    <row r="18" ht="30" customHeight="1" s="28">
      <c r="A18" s="45" t="inlineStr">
        <is>
          <t>V4.4</t>
        </is>
      </c>
      <c r="B18" s="45" t="inlineStr">
        <is>
          <t>WebSocket</t>
        </is>
      </c>
      <c r="C18" s="46" t="inlineStr">
        <is>
          <t>V4.4.1</t>
        </is>
      </c>
      <c r="D18" s="47" t="inlineStr">
        <is>
          <t>Verify that WebSocket over TLS (WSS) is used for all WebSocket connections.</t>
        </is>
      </c>
      <c r="E18" s="53" t="n">
        <v>1</v>
      </c>
      <c r="F18" s="49" t="inlineStr">
        <is>
          <t>Not Applicable</t>
        </is>
      </c>
      <c r="G18" s="47" t="inlineStr">
        <is>
          <t>Out of scope for the documented Phase 1 architecture. No WebSocket channels are defined; communication is specified through REST API boundaries.</t>
        </is>
      </c>
      <c r="H18" s="47" t="inlineStr">
        <is>
          <t>Deliveries/Phase1/requirements.md (Section 1, secure REST API scope); Deliveries/Phase1/secure-architecture-and-ddr.md (Section 1, authenticated REST boundaries)</t>
        </is>
      </c>
    </row>
    <row r="19" ht="30" customHeight="1" s="28">
      <c r="A19" s="50" t="inlineStr">
        <is>
          <t>V4.4</t>
        </is>
      </c>
      <c r="B19" s="50" t="inlineStr">
        <is>
          <t>WebSocket</t>
        </is>
      </c>
      <c r="C19" s="51" t="inlineStr">
        <is>
          <t>V4.4.2</t>
        </is>
      </c>
      <c r="D19" s="52" t="inlineStr">
        <is>
          <t>Verify that, during the initial HTTP WebSocket handshake, the Origin header field is checked against a list of origins allowed for the application.</t>
        </is>
      </c>
      <c r="E19" s="48" t="n">
        <v>2</v>
      </c>
      <c r="F19" s="49" t="inlineStr">
        <is>
          <t>Not Applicable</t>
        </is>
      </c>
      <c r="G19" s="52" t="inlineStr">
        <is>
          <t>Out of scope for the documented Phase 1 architecture. No WebSocket handshake/origin validation flow is defined because WebSocket is not part of the current system boundary.</t>
        </is>
      </c>
      <c r="H19" s="52" t="inlineStr">
        <is>
          <t>Deliveries/Phase1/requirements.md (Section 1, secure REST API scope); Deliveries/Phase1/secure-architecture-and-ddr.md (Section 1, authenticated REST boundaries)</t>
        </is>
      </c>
    </row>
    <row r="20" ht="30" customHeight="1" s="28">
      <c r="A20" s="45" t="inlineStr">
        <is>
          <t>V4.4</t>
        </is>
      </c>
      <c r="B20" s="45" t="inlineStr">
        <is>
          <t>WebSocket</t>
        </is>
      </c>
      <c r="C20" s="46" t="inlineStr">
        <is>
          <t>V4.4.3</t>
        </is>
      </c>
      <c r="D20" s="47" t="inlineStr">
        <is>
          <t>Verify that, if the application's standard session management cannot be used, dedicated tokens are being used for this, which comply with the relevant Session Management security requirements.</t>
        </is>
      </c>
      <c r="E20" s="48" t="n">
        <v>2</v>
      </c>
      <c r="F20" s="49" t="inlineStr">
        <is>
          <t>Not Applicable</t>
        </is>
      </c>
      <c r="G20" s="47" t="inlineStr">
        <is>
          <t>Out of scope for the documented Phase 1 architecture. No dedicated WebSocket session management token model is defined because WebSocket channels are not in scope.</t>
        </is>
      </c>
      <c r="H20" s="47" t="inlineStr">
        <is>
          <t>Deliveries/Phase1/requirements.md (Section 1, secure REST API scope); Deliveries/Phase1/secure-architecture-and-ddr.md (Section 1, authenticated REST boundaries)</t>
        </is>
      </c>
    </row>
    <row r="21" ht="30" customHeight="1" s="28">
      <c r="A21" s="50" t="inlineStr">
        <is>
          <t>V4.4</t>
        </is>
      </c>
      <c r="B21" s="50" t="inlineStr">
        <is>
          <t>WebSocket</t>
        </is>
      </c>
      <c r="C21" s="51" t="inlineStr">
        <is>
          <t>V4.4.4</t>
        </is>
      </c>
      <c r="D21" s="52" t="inlineStr">
        <is>
          <t>Verify that dedicated WebSocket session management tokens are initially obtained or validated through the previously authenticated HTTPS session when transitioning an existing HTTPS session to a WebSocket channel.</t>
        </is>
      </c>
      <c r="E21" s="48" t="n">
        <v>2</v>
      </c>
      <c r="F21" s="49" t="inlineStr">
        <is>
          <t>Not Applicable</t>
        </is>
      </c>
      <c r="G21" s="52" t="inlineStr">
        <is>
          <t>Out of scope for the documented Phase 1 architecture. No HTTPS-to-WebSocket transition flow is defined because WebSocket channels are not in scope.</t>
        </is>
      </c>
      <c r="H21" s="52" t="inlineStr">
        <is>
          <t>Deliveries/Phase1/requirements.md (Section 1, secure REST API scope); Deliveries/Phase1/secure-architecture-and-ddr.md (Section 1, authenticated REST boundaries)</t>
        </is>
      </c>
    </row>
  </sheetData>
  <conditionalFormatting sqref="F2:F21">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21"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AC18"/>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V5.1</t>
        </is>
      </c>
      <c r="B2" s="44" t="inlineStr">
        <is>
          <t>File Handling Documentation</t>
        </is>
      </c>
      <c r="C2" s="44" t="n"/>
      <c r="D2" s="44" t="n"/>
      <c r="E2" s="44" t="n"/>
      <c r="F2" s="44" t="n"/>
      <c r="G2" s="44" t="n"/>
      <c r="H2" s="44" t="n"/>
    </row>
    <row r="3" ht="30" customHeight="1" s="28">
      <c r="A3" s="45" t="inlineStr">
        <is>
          <t>V5.1</t>
        </is>
      </c>
      <c r="B3" s="45" t="inlineStr">
        <is>
          <t>File Handling Documentation</t>
        </is>
      </c>
      <c r="C3" s="46" t="inlineStr">
        <is>
          <t>V5.1.1</t>
        </is>
      </c>
      <c r="D3" s="47" t="inlineStr">
        <is>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is>
      </c>
      <c r="E3" s="48" t="n">
        <v>2</v>
      </c>
      <c r="F3" s="49" t="inlineStr">
        <is>
          <t>Compliant</t>
        </is>
      </c>
      <c r="G3" s="47" t="inlineStr">
        <is>
          <t>Explicitly covered by Deliveries documentation with direct ASVS traceability (design-phase evidence). Residual risk: Implementation verification is still pending for Phase 2 execution.</t>
        </is>
      </c>
      <c r="H3" s="47" t="inlineStr">
        <is>
          <t>Deliveries/Phase1/traceability-matrix.md (Section 3, traceability matrix, TM-007); Deliveries/Phase1/traceability-matrix.md (Section 3, traceability matrix, TM-013)</t>
        </is>
      </c>
    </row>
    <row r="4" ht="18" customHeight="1" s="28">
      <c r="A4" s="44" t="inlineStr">
        <is>
          <t>V5.2</t>
        </is>
      </c>
      <c r="B4" s="44" t="inlineStr">
        <is>
          <t>File Upload and Content</t>
        </is>
      </c>
      <c r="C4" s="44" t="n"/>
      <c r="D4" s="44" t="n"/>
      <c r="E4" s="44" t="n"/>
      <c r="F4" s="44" t="n"/>
      <c r="G4" s="44" t="n"/>
      <c r="H4" s="44" t="n"/>
    </row>
    <row r="5" ht="30" customHeight="1" s="28">
      <c r="A5" s="45" t="inlineStr">
        <is>
          <t>V5.2</t>
        </is>
      </c>
      <c r="B5" s="45" t="inlineStr">
        <is>
          <t>File Upload and Content</t>
        </is>
      </c>
      <c r="C5" s="46" t="inlineStr">
        <is>
          <t>V5.2.1</t>
        </is>
      </c>
      <c r="D5" s="47" t="inlineStr">
        <is>
          <t>Verify that the application will only accept files of a size which it can process without causing a loss of performance or a denial of service attack.</t>
        </is>
      </c>
      <c r="E5" s="53" t="n">
        <v>1</v>
      </c>
      <c r="F5" s="49" t="inlineStr">
        <is>
          <t>Compliant</t>
        </is>
      </c>
      <c r="G5" s="47" t="inlineStr">
        <is>
          <t>Explicitly covered by Deliveries documentation with direct ASVS traceability (design-phase evidence). Residual risk: Implementation verification is still pending for Phase 2 execution.</t>
        </is>
      </c>
      <c r="H5" s="47" t="inlineStr">
        <is>
          <t>Deliveries/Phase1/traceability-matrix.md (Section 3, traceability matrix, TM-007); Deliveries/Phase1/traceability-matrix.md (Section 3, traceability matrix, TM-013)</t>
        </is>
      </c>
    </row>
    <row r="6" ht="30" customHeight="1" s="28">
      <c r="A6" s="50" t="inlineStr">
        <is>
          <t>V5.2</t>
        </is>
      </c>
      <c r="B6" s="50" t="inlineStr">
        <is>
          <t>File Upload and Content</t>
        </is>
      </c>
      <c r="C6" s="51" t="inlineStr">
        <is>
          <t>V5.2.2</t>
        </is>
      </c>
      <c r="D6" s="52" t="inlineStr">
        <is>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is>
      </c>
      <c r="E6" s="53" t="n">
        <v>1</v>
      </c>
      <c r="F6" s="49" t="inlineStr">
        <is>
          <t>Compliant</t>
        </is>
      </c>
      <c r="G6" s="52" t="inlineStr">
        <is>
          <t>Explicitly covered by Deliveries documentation with direct ASVS traceability (design-phase evidence). Residual risk: Implementation verification is still pending for Phase 2 execution.</t>
        </is>
      </c>
      <c r="H6" s="52" t="inlineStr">
        <is>
          <t>Deliveries/Phase1/traceability-matrix.md (Section 3, traceability matrix, TM-007)</t>
        </is>
      </c>
    </row>
    <row r="7" ht="30" customHeight="1" s="28">
      <c r="A7" s="45" t="inlineStr">
        <is>
          <t>V5.2</t>
        </is>
      </c>
      <c r="B7" s="45" t="inlineStr">
        <is>
          <t>File Upload and Content</t>
        </is>
      </c>
      <c r="C7" s="46" t="inlineStr">
        <is>
          <t>V5.2.3</t>
        </is>
      </c>
      <c r="D7" s="47" t="inlineStr">
        <is>
          <t>Verify that the application checks compressed files (e.g., zip, gz, docx, odt) against maximum allowed uncompressed size and against maximum number of files before uncompressing the file.</t>
        </is>
      </c>
      <c r="E7" s="48" t="n">
        <v>2</v>
      </c>
      <c r="F7" s="49" t="inlineStr">
        <is>
          <t>Compliant</t>
        </is>
      </c>
      <c r="G7" s="47" t="inlineStr">
        <is>
          <t>Explicitly covered by Deliveries documentation with direct ASVS traceability (design-phase evidence). Residual risk: Implementation verification is still pending for Phase 2 execution.</t>
        </is>
      </c>
      <c r="H7" s="47" t="inlineStr">
        <is>
          <t>backend/src/main/java/com/desofs/project/document/controller/DocumentController.java; backend/src/main/java/com/desofs/project/document/services/DocumentService.java; backend/src/main/java/com/desofs/project/infrastructure/filesystem/FileStorageService.java; backend/src/main/resources/application.yml</t>
        </is>
      </c>
    </row>
    <row r="8" ht="30" customHeight="1" s="28">
      <c r="A8" s="50" t="inlineStr">
        <is>
          <t>V5.2</t>
        </is>
      </c>
      <c r="B8" s="50" t="inlineStr">
        <is>
          <t>File Upload and Content</t>
        </is>
      </c>
      <c r="C8" s="51" t="inlineStr">
        <is>
          <t>V5.2.4</t>
        </is>
      </c>
      <c r="D8" s="52" t="inlineStr">
        <is>
          <t>Verify that a file size quota and maximum number of files per user are enforced to ensure that a single user cannot fill up the storage with too many files, or excessively large files.</t>
        </is>
      </c>
      <c r="E8" s="54" t="n">
        <v>3</v>
      </c>
      <c r="F8" s="49" t="inlineStr">
        <is>
          <t>Compliant</t>
        </is>
      </c>
      <c r="G8" s="52" t="inlineStr">
        <is>
          <t>Explicitly covered by Deliveries documentation with direct ASVS traceability (design-phase evidence). Residual risk: Implementation verification is still pending for Phase 2 execution.</t>
        </is>
      </c>
      <c r="H8" s="52" t="inlineStr">
        <is>
          <t>backend/src/main/java/com/desofs/project/document/controller/DocumentController.java; backend/src/main/java/com/desofs/project/document/services/DocumentService.java; backend/src/main/java/com/desofs/project/infrastructure/filesystem/FileStorageService.java; backend/src/main/resources/application.yml</t>
        </is>
      </c>
    </row>
    <row r="9" ht="30" customHeight="1" s="28">
      <c r="A9" s="45" t="inlineStr">
        <is>
          <t>V5.2</t>
        </is>
      </c>
      <c r="B9" s="45" t="inlineStr">
        <is>
          <t>File Upload and Content</t>
        </is>
      </c>
      <c r="C9" s="46" t="inlineStr">
        <is>
          <t>V5.2.5</t>
        </is>
      </c>
      <c r="D9" s="47" t="inlineStr">
        <is>
          <t>Verify that the application does not allow uploading compressed files containing symlinks unless this is specifically required (in which case it will be necessary to enforce an allowlist of the files that can be symlinked to).</t>
        </is>
      </c>
      <c r="E9" s="54" t="n">
        <v>3</v>
      </c>
      <c r="F9" s="49" t="inlineStr">
        <is>
          <t>Compliant</t>
        </is>
      </c>
      <c r="G9" s="47" t="inlineStr">
        <is>
          <t>Explicitly covered by Deliveries documentation with direct ASVS traceability (design-phase evidence). Residual risk: Implementation verification is still pending for Phase 2 execution.</t>
        </is>
      </c>
      <c r="H9" s="47" t="inlineStr">
        <is>
          <t>backend/src/main/java/com/desofs/project/document/controller/DocumentController.java; backend/src/main/java/com/desofs/project/document/services/DocumentService.java; backend/src/main/java/com/desofs/project/infrastructure/filesystem/FileStorageService.java; backend/src/main/resources/application.yml</t>
        </is>
      </c>
    </row>
    <row r="10" ht="30" customHeight="1" s="28">
      <c r="A10" s="50" t="inlineStr">
        <is>
          <t>V5.2</t>
        </is>
      </c>
      <c r="B10" s="50" t="inlineStr">
        <is>
          <t>File Upload and Content</t>
        </is>
      </c>
      <c r="C10" s="51" t="inlineStr">
        <is>
          <t>V5.2.6</t>
        </is>
      </c>
      <c r="D10" s="52" t="inlineStr">
        <is>
          <t>Verify that the application rejects uploaded images with a pixel size larger than the maximum allowed, to prevent pixel flood attacks.</t>
        </is>
      </c>
      <c r="E10" s="54" t="n">
        <v>3</v>
      </c>
      <c r="F10" s="49" t="inlineStr">
        <is>
          <t>Compliant</t>
        </is>
      </c>
      <c r="G10" s="52" t="inlineStr">
        <is>
          <t>Explicitly covered by Deliveries documentation with direct ASVS traceability (design-phase evidence). Residual risk: Implementation verification is still pending for Phase 2 execution.</t>
        </is>
      </c>
      <c r="H10" s="52" t="inlineStr">
        <is>
          <t>backend/src/main/java/com/desofs/project/document/controller/DocumentController.java; backend/src/main/java/com/desofs/project/document/services/DocumentService.java; backend/src/main/java/com/desofs/project/infrastructure/filesystem/FileStorageService.java; backend/src/main/resources/application.yml</t>
        </is>
      </c>
    </row>
    <row r="11" ht="18" customHeight="1" s="28">
      <c r="A11" s="44" t="inlineStr">
        <is>
          <t>V5.3</t>
        </is>
      </c>
      <c r="B11" s="44" t="inlineStr">
        <is>
          <t>File Storage</t>
        </is>
      </c>
      <c r="C11" s="44" t="n"/>
      <c r="D11" s="44" t="n"/>
      <c r="E11" s="44" t="n"/>
      <c r="F11" s="44" t="n"/>
      <c r="G11" s="44" t="n"/>
      <c r="H11" s="44" t="n"/>
    </row>
    <row r="12" ht="30" customHeight="1" s="28">
      <c r="A12" s="45" t="inlineStr">
        <is>
          <t>V5.3</t>
        </is>
      </c>
      <c r="B12" s="45" t="inlineStr">
        <is>
          <t>File Storage</t>
        </is>
      </c>
      <c r="C12" s="46" t="inlineStr">
        <is>
          <t>V5.3.1</t>
        </is>
      </c>
      <c r="D12" s="47" t="inlineStr">
        <is>
          <t>Verify that files uploaded or generated by untrusted input and stored in a public folder, are not executed as server-side program code when accessed directly with an HTTP request.</t>
        </is>
      </c>
      <c r="E12" s="53" t="n">
        <v>1</v>
      </c>
      <c r="F12" s="49" t="inlineStr">
        <is>
          <t>Compliant</t>
        </is>
      </c>
      <c r="G12" s="47" t="inlineStr">
        <is>
          <t>Explicitly covered by Deliveries documentation with direct ASVS traceability (design-phase evidence). Residual risk: Implementation verification is still pending for Phase 2 execution.</t>
        </is>
      </c>
      <c r="H12" s="47" t="inlineStr">
        <is>
          <t>backend/src/main/java/com/desofs/project/document/controller/DocumentController.java; backend/src/main/java/com/desofs/project/document/services/DocumentService.java; backend/src/main/java/com/desofs/project/infrastructure/filesystem/FileStorageService.java; backend/src/main/resources/application.yml</t>
        </is>
      </c>
    </row>
    <row r="13" ht="30" customHeight="1" s="28">
      <c r="A13" s="50" t="inlineStr">
        <is>
          <t>V5.3</t>
        </is>
      </c>
      <c r="B13" s="50" t="inlineStr">
        <is>
          <t>File Storage</t>
        </is>
      </c>
      <c r="C13" s="51" t="inlineStr">
        <is>
          <t>V5.3.2</t>
        </is>
      </c>
      <c r="D13" s="52" t="inlineStr">
        <is>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is>
      </c>
      <c r="E13" s="53" t="n">
        <v>1</v>
      </c>
      <c r="F13" s="49" t="inlineStr">
        <is>
          <t>Compliant</t>
        </is>
      </c>
      <c r="G13" s="52" t="inlineStr">
        <is>
          <t>Explicitly covered by Deliveries documentation with direct ASVS traceability (design-phase evidence). Residual risk: Implementation verification is still pending for Phase 2 execution.</t>
        </is>
      </c>
      <c r="H13" s="52" t="inlineStr">
        <is>
          <t>Deliveries/Phase1/traceability-matrix.md (Section 3, traceability matrix, TM-007); Deliveries/Phase1/traceability-matrix.md (Section 3, traceability matrix, TM-009); Deliveries/Phase1/traceability-matrix.md (Section 3, traceability matrix, TM-023)</t>
        </is>
      </c>
    </row>
    <row r="14" ht="30" customHeight="1" s="28">
      <c r="A14" s="45" t="inlineStr">
        <is>
          <t>V5.3</t>
        </is>
      </c>
      <c r="B14" s="45" t="inlineStr">
        <is>
          <t>File Storage</t>
        </is>
      </c>
      <c r="C14" s="46" t="inlineStr">
        <is>
          <t>V5.3.3</t>
        </is>
      </c>
      <c r="D14" s="47" t="inlineStr">
        <is>
          <t>Verify that server-side file processing, such as file decompression, ignores user-provided path information to prevent vulnerabilities such as zip slip.</t>
        </is>
      </c>
      <c r="E14" s="54" t="n">
        <v>3</v>
      </c>
      <c r="F14" s="49" t="inlineStr">
        <is>
          <t>Compliant</t>
        </is>
      </c>
      <c r="G14" s="47" t="inlineStr">
        <is>
          <t>Explicitly covered by Deliveries documentation with direct ASVS traceability (design-phase evidence). Residual risk: Implementation verification is still pending for Phase 2 execution.</t>
        </is>
      </c>
      <c r="H14" s="47" t="inlineStr">
        <is>
          <t>Deliveries/Phase1/traceability-matrix.md (Section 3, traceability matrix, TM-023)</t>
        </is>
      </c>
    </row>
    <row r="15" ht="18" customHeight="1" s="28">
      <c r="A15" s="44" t="inlineStr">
        <is>
          <t>V5.4</t>
        </is>
      </c>
      <c r="B15" s="44" t="inlineStr">
        <is>
          <t>File Download</t>
        </is>
      </c>
      <c r="C15" s="44" t="n"/>
      <c r="D15" s="44" t="n"/>
      <c r="E15" s="44" t="n"/>
      <c r="F15" s="44" t="n"/>
      <c r="G15" s="44" t="n"/>
      <c r="H15" s="44" t="n"/>
    </row>
    <row r="16" ht="30" customHeight="1" s="28">
      <c r="A16" s="45" t="inlineStr">
        <is>
          <t>V5.4</t>
        </is>
      </c>
      <c r="B16" s="45" t="inlineStr">
        <is>
          <t>File Download</t>
        </is>
      </c>
      <c r="C16" s="46" t="inlineStr">
        <is>
          <t>V5.4.1</t>
        </is>
      </c>
      <c r="D16" s="47" t="inlineStr">
        <is>
          <t>Verify that the application validates or ignores user-submitted filenames, including in a JSON, JSONP, or URL parameter and specifies a filename in the Content-Disposition header field in the response.</t>
        </is>
      </c>
      <c r="E16" s="48" t="n">
        <v>2</v>
      </c>
      <c r="F16" s="49" t="inlineStr">
        <is>
          <t>Compliant</t>
        </is>
      </c>
      <c r="G16" s="47" t="inlineStr">
        <is>
          <t>Explicitly covered by Deliveries documentation with direct ASVS traceability (design-phase evidence). Residual risk: Implementation verification is still pending for Phase 2 execution.</t>
        </is>
      </c>
      <c r="H16" s="47" t="inlineStr">
        <is>
          <t>Deliveries/Phase1/traceability-matrix.md (Section 3, traceability matrix, TM-024)</t>
        </is>
      </c>
    </row>
    <row r="17" ht="30" customHeight="1" s="28">
      <c r="A17" s="50" t="inlineStr">
        <is>
          <t>V5.4</t>
        </is>
      </c>
      <c r="B17" s="50" t="inlineStr">
        <is>
          <t>File Download</t>
        </is>
      </c>
      <c r="C17" s="51" t="inlineStr">
        <is>
          <t>V5.4.2</t>
        </is>
      </c>
      <c r="D17" s="52" t="inlineStr">
        <is>
          <t>Verify that file names served (e.g., in HTTP response header fields or email attachments) are encoded or sanitized (e.g., following RFC 6266) to preserve document structure and prevent injection attacks.</t>
        </is>
      </c>
      <c r="E17" s="48" t="n">
        <v>2</v>
      </c>
      <c r="F17" s="49" t="inlineStr">
        <is>
          <t>Compliant</t>
        </is>
      </c>
      <c r="G17" s="52" t="inlineStr">
        <is>
          <t>Explicitly covered by Deliveries documentation with direct ASVS traceability (design-phase evidence). Residual risk: Implementation verification is still pending for Phase 2 execution.</t>
        </is>
      </c>
      <c r="H17" s="52" t="inlineStr">
        <is>
          <t>Deliveries/Phase1/traceability-matrix.md (Section 3, traceability matrix, TM-024)</t>
        </is>
      </c>
    </row>
    <row r="18" ht="30" customHeight="1" s="28">
      <c r="A18" s="45" t="inlineStr">
        <is>
          <t>V5.4</t>
        </is>
      </c>
      <c r="B18" s="45" t="inlineStr">
        <is>
          <t>File Download</t>
        </is>
      </c>
      <c r="C18" s="46" t="inlineStr">
        <is>
          <t>V5.4.3</t>
        </is>
      </c>
      <c r="D18" s="47" t="inlineStr">
        <is>
          <t>Verify that files obtained from untrusted sources are scanned by antivirus scanners to prevent serving of known malicious content.</t>
        </is>
      </c>
      <c r="E18" s="48" t="n">
        <v>2</v>
      </c>
      <c r="F18" s="49" t="inlineStr">
        <is>
          <t>Compliant</t>
        </is>
      </c>
      <c r="G18" s="47" t="inlineStr">
        <is>
          <t>Explicitly covered by Deliveries documentation with direct ASVS traceability (design-phase evidence). Residual risk: Implementation verification is still pending for Phase 2 execution.</t>
        </is>
      </c>
      <c r="H18" s="47" t="inlineStr">
        <is>
          <t>backend/src/main/java/com/desofs/project/document/controller/DocumentController.java; backend/src/main/java/com/desofs/project/document/services/DocumentService.java; backend/src/main/java/com/desofs/project/infrastructure/filesystem/FileStorageService.java; backend/src/main/resources/application.yml</t>
        </is>
      </c>
    </row>
  </sheetData>
  <conditionalFormatting sqref="F2:F18">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18"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AC56"/>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V6.1</t>
        </is>
      </c>
      <c r="B2" s="44" t="inlineStr">
        <is>
          <t>Authentication Documentation</t>
        </is>
      </c>
      <c r="C2" s="44" t="n"/>
      <c r="D2" s="44" t="n"/>
      <c r="E2" s="44" t="n"/>
      <c r="F2" s="44" t="n"/>
      <c r="G2" s="44" t="n"/>
      <c r="H2" s="44" t="n"/>
    </row>
    <row r="3" ht="30" customHeight="1" s="28">
      <c r="A3" s="45" t="inlineStr">
        <is>
          <t>V6.1</t>
        </is>
      </c>
      <c r="B3" s="45" t="inlineStr">
        <is>
          <t>Authentication Documentation</t>
        </is>
      </c>
      <c r="C3" s="46" t="inlineStr">
        <is>
          <t>V6.1.1</t>
        </is>
      </c>
      <c r="D3" s="47" t="inlineStr">
        <is>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is>
      </c>
      <c r="E3" s="53" t="n">
        <v>1</v>
      </c>
      <c r="F3" s="49" t="inlineStr">
        <is>
          <t>Compliant</t>
        </is>
      </c>
      <c r="G3" s="47" t="inlineStr">
        <is>
          <t>Explicitly covered by Deliveries documentation with direct ASVS traceability (design-phase evidence). Residual risk: Implementation verification is still pending for Phase 2 execution.</t>
        </is>
      </c>
      <c r="H3" s="47"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4" ht="30" customHeight="1" s="28">
      <c r="A4" s="50" t="inlineStr">
        <is>
          <t>V6.1</t>
        </is>
      </c>
      <c r="B4" s="50" t="inlineStr">
        <is>
          <t>Authentication Documentation</t>
        </is>
      </c>
      <c r="C4" s="51" t="inlineStr">
        <is>
          <t>V6.1.2</t>
        </is>
      </c>
      <c r="D4" s="52" t="inlineStr">
        <is>
          <t>Verify that a list of context-specific words is documented in order to prevent their use in passwords. The list could include permutations of organization names, product names, system identifiers, project codenames, department or role names, and similar.</t>
        </is>
      </c>
      <c r="E4" s="48" t="n">
        <v>2</v>
      </c>
      <c r="F4" s="49" t="inlineStr">
        <is>
          <t>Compliant</t>
        </is>
      </c>
      <c r="G4" s="52" t="inlineStr">
        <is>
          <t>Explicitly covered by Deliveries documentation with direct ASVS traceability (design-phase evidence). Residual risk: Implementation verification is still pending for Phase 2 execution.</t>
        </is>
      </c>
      <c r="H4" s="52"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5" ht="30" customHeight="1" s="28">
      <c r="A5" s="45" t="inlineStr">
        <is>
          <t>V6.1</t>
        </is>
      </c>
      <c r="B5" s="45" t="inlineStr">
        <is>
          <t>Authentication Documentation</t>
        </is>
      </c>
      <c r="C5" s="46" t="inlineStr">
        <is>
          <t>V6.1.3</t>
        </is>
      </c>
      <c r="D5" s="47" t="inlineStr">
        <is>
          <t>Verify that, if the application includes multiple authentication pathways, these are all documented together with the security controls and authentication strength which must be consistently enforced across them.</t>
        </is>
      </c>
      <c r="E5" s="48" t="n">
        <v>2</v>
      </c>
      <c r="F5" s="49" t="inlineStr">
        <is>
          <t>Compliant</t>
        </is>
      </c>
      <c r="G5" s="47" t="inlineStr">
        <is>
          <t>Explicitly covered by Deliveries documentation with direct ASVS traceability (design-phase evidence). Residual risk: Implementation verification is still pending for Phase 2 execution.</t>
        </is>
      </c>
      <c r="H5" s="47"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6" ht="18" customHeight="1" s="28">
      <c r="A6" s="44" t="inlineStr">
        <is>
          <t>V6.2</t>
        </is>
      </c>
      <c r="B6" s="44" t="inlineStr">
        <is>
          <t>Password Security</t>
        </is>
      </c>
      <c r="C6" s="44" t="n"/>
      <c r="D6" s="44" t="n"/>
      <c r="E6" s="44" t="n"/>
      <c r="F6" s="44" t="n"/>
      <c r="G6" s="44" t="n"/>
      <c r="H6" s="44" t="n"/>
    </row>
    <row r="7" ht="30" customHeight="1" s="28">
      <c r="A7" s="45" t="inlineStr">
        <is>
          <t>V6.2</t>
        </is>
      </c>
      <c r="B7" s="45" t="inlineStr">
        <is>
          <t>Password Security</t>
        </is>
      </c>
      <c r="C7" s="46" t="inlineStr">
        <is>
          <t>V6.2.1</t>
        </is>
      </c>
      <c r="D7" s="47" t="inlineStr">
        <is>
          <t>Verify that user set passwords are at least 8 characters in length although a minimum of 15 characters is strongly recommended.</t>
        </is>
      </c>
      <c r="E7" s="53" t="n">
        <v>1</v>
      </c>
      <c r="F7" s="49" t="inlineStr">
        <is>
          <t>Compliant</t>
        </is>
      </c>
      <c r="G7" s="47" t="inlineStr">
        <is>
          <t>Explicitly covered by Deliveries documentation with direct ASVS traceability (design-phase evidence). Residual risk: Implementation verification is still pending for Phase 2 execution.</t>
        </is>
      </c>
      <c r="H7" s="47"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8" ht="30" customHeight="1" s="28">
      <c r="A8" s="50" t="inlineStr">
        <is>
          <t>V6.2</t>
        </is>
      </c>
      <c r="B8" s="50" t="inlineStr">
        <is>
          <t>Password Security</t>
        </is>
      </c>
      <c r="C8" s="51" t="inlineStr">
        <is>
          <t>V6.2.2</t>
        </is>
      </c>
      <c r="D8" s="52" t="inlineStr">
        <is>
          <t>Verify that users can change their password.</t>
        </is>
      </c>
      <c r="E8" s="53" t="n">
        <v>1</v>
      </c>
      <c r="F8" s="49" t="inlineStr">
        <is>
          <t>Compliant</t>
        </is>
      </c>
      <c r="G8" s="52" t="inlineStr">
        <is>
          <t>Explicitly covered by Deliveries documentation with direct ASVS traceability (design-phase evidence). Residual risk: Implementation verification is still pending for Phase 2 execution.</t>
        </is>
      </c>
      <c r="H8" s="52"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9" ht="30" customHeight="1" s="28">
      <c r="A9" s="45" t="inlineStr">
        <is>
          <t>V6.2</t>
        </is>
      </c>
      <c r="B9" s="45" t="inlineStr">
        <is>
          <t>Password Security</t>
        </is>
      </c>
      <c r="C9" s="46" t="inlineStr">
        <is>
          <t>V6.2.3</t>
        </is>
      </c>
      <c r="D9" s="47" t="inlineStr">
        <is>
          <t>Verify that password change functionality requires the user's current and new password.</t>
        </is>
      </c>
      <c r="E9" s="53" t="n">
        <v>1</v>
      </c>
      <c r="F9" s="49" t="inlineStr">
        <is>
          <t>Compliant</t>
        </is>
      </c>
      <c r="G9" s="47" t="inlineStr">
        <is>
          <t>Explicitly covered by Deliveries documentation with direct ASVS traceability (design-phase evidence). Residual risk: Implementation verification is still pending for Phase 2 execution.</t>
        </is>
      </c>
      <c r="H9" s="47"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10" ht="30" customHeight="1" s="28">
      <c r="A10" s="50" t="inlineStr">
        <is>
          <t>V6.2</t>
        </is>
      </c>
      <c r="B10" s="50" t="inlineStr">
        <is>
          <t>Password Security</t>
        </is>
      </c>
      <c r="C10" s="51" t="inlineStr">
        <is>
          <t>V6.2.4</t>
        </is>
      </c>
      <c r="D10" s="52" t="inlineStr">
        <is>
          <t>Verify that passwords submitted during account registration or password change are checked against an available set of, at least, the top 3000 passwords which match the application's password policy, e.g. minimum length.</t>
        </is>
      </c>
      <c r="E10" s="53" t="n">
        <v>1</v>
      </c>
      <c r="F10" s="49" t="inlineStr">
        <is>
          <t>Compliant</t>
        </is>
      </c>
      <c r="G10" s="52" t="inlineStr">
        <is>
          <t>Explicitly covered by Deliveries documentation with direct ASVS traceability (design-phase evidence). Residual risk: Implementation verification is still pending for Phase 2 execution.</t>
        </is>
      </c>
      <c r="H10" s="52"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11" ht="30" customHeight="1" s="28">
      <c r="A11" s="45" t="inlineStr">
        <is>
          <t>V6.2</t>
        </is>
      </c>
      <c r="B11" s="45" t="inlineStr">
        <is>
          <t>Password Security</t>
        </is>
      </c>
      <c r="C11" s="46" t="inlineStr">
        <is>
          <t>V6.2.5</t>
        </is>
      </c>
      <c r="D11" s="47" t="inlineStr">
        <is>
          <t>Verify that passwords of any composition can be used, without rules limiting the type of characters permitted. There must be no requirement for a minimum number of upper or lower case characters, numbers, or special characters.</t>
        </is>
      </c>
      <c r="E11" s="53" t="n">
        <v>1</v>
      </c>
      <c r="F11" s="49" t="inlineStr">
        <is>
          <t>Compliant</t>
        </is>
      </c>
      <c r="G11" s="47" t="inlineStr">
        <is>
          <t>Explicitly covered by Deliveries documentation with direct ASVS traceability (design-phase evidence). Residual risk: Implementation verification is still pending for Phase 2 execution.</t>
        </is>
      </c>
      <c r="H11" s="47"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12" ht="30" customHeight="1" s="28">
      <c r="A12" s="50" t="inlineStr">
        <is>
          <t>V6.2</t>
        </is>
      </c>
      <c r="B12" s="50" t="inlineStr">
        <is>
          <t>Password Security</t>
        </is>
      </c>
      <c r="C12" s="51" t="inlineStr">
        <is>
          <t>V6.2.6</t>
        </is>
      </c>
      <c r="D12" s="52" t="inlineStr">
        <is>
          <t>Verify that password input fields use type=password to mask the entry. Applications may allow the user to temporarily view the entire masked password, or the last typed character of the password.</t>
        </is>
      </c>
      <c r="E12" s="53" t="n">
        <v>1</v>
      </c>
      <c r="F12" s="49" t="inlineStr">
        <is>
          <t>Compliant</t>
        </is>
      </c>
      <c r="G12" s="52" t="inlineStr">
        <is>
          <t>Explicitly covered by Deliveries documentation with direct ASVS traceability (design-phase evidence). Residual risk: Implementation verification is still pending for Phase 2 execution.</t>
        </is>
      </c>
      <c r="H12" s="52"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13" ht="30" customHeight="1" s="28">
      <c r="A13" s="45" t="inlineStr">
        <is>
          <t>V6.2</t>
        </is>
      </c>
      <c r="B13" s="45" t="inlineStr">
        <is>
          <t>Password Security</t>
        </is>
      </c>
      <c r="C13" s="46" t="inlineStr">
        <is>
          <t>V6.2.7</t>
        </is>
      </c>
      <c r="D13" s="47" t="inlineStr">
        <is>
          <t>Verify that "paste" functionality, browser password helpers, and external password managers are permitted.</t>
        </is>
      </c>
      <c r="E13" s="53" t="n">
        <v>1</v>
      </c>
      <c r="F13" s="49" t="inlineStr">
        <is>
          <t>Compliant</t>
        </is>
      </c>
      <c r="G13" s="47" t="inlineStr">
        <is>
          <t>Explicitly covered by Deliveries documentation with direct ASVS traceability (design-phase evidence). Residual risk: Implementation verification is still pending for Phase 2 execution.</t>
        </is>
      </c>
      <c r="H13" s="47"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14" ht="30" customHeight="1" s="28">
      <c r="A14" s="50" t="inlineStr">
        <is>
          <t>V6.2</t>
        </is>
      </c>
      <c r="B14" s="50" t="inlineStr">
        <is>
          <t>Password Security</t>
        </is>
      </c>
      <c r="C14" s="51" t="inlineStr">
        <is>
          <t>V6.2.8</t>
        </is>
      </c>
      <c r="D14" s="52" t="inlineStr">
        <is>
          <t>Verify that the application verifies the user's password exactly as received from the user, without any modifications such as truncation or case transformation.</t>
        </is>
      </c>
      <c r="E14" s="53" t="n">
        <v>1</v>
      </c>
      <c r="F14" s="49" t="inlineStr">
        <is>
          <t>Compliant</t>
        </is>
      </c>
      <c r="G14" s="52" t="inlineStr">
        <is>
          <t>Explicitly covered by Deliveries documentation with direct ASVS traceability (design-phase evidence). Residual risk: Implementation verification is still pending for Phase 2 execution.</t>
        </is>
      </c>
      <c r="H14" s="52"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15" ht="30" customHeight="1" s="28">
      <c r="A15" s="45" t="inlineStr">
        <is>
          <t>V6.2</t>
        </is>
      </c>
      <c r="B15" s="45" t="inlineStr">
        <is>
          <t>Password Security</t>
        </is>
      </c>
      <c r="C15" s="46" t="inlineStr">
        <is>
          <t>V6.2.9</t>
        </is>
      </c>
      <c r="D15" s="47" t="inlineStr">
        <is>
          <t>Verify that passwords of at least 64 characters are permitted.</t>
        </is>
      </c>
      <c r="E15" s="48" t="n">
        <v>2</v>
      </c>
      <c r="F15" s="49" t="inlineStr">
        <is>
          <t>Compliant</t>
        </is>
      </c>
      <c r="G15" s="47" t="inlineStr">
        <is>
          <t>Explicitly covered by Deliveries documentation with direct ASVS traceability (design-phase evidence). Residual risk: Implementation verification is still pending for Phase 2 execution.</t>
        </is>
      </c>
      <c r="H15" s="47"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16" ht="30" customHeight="1" s="28">
      <c r="A16" s="50" t="inlineStr">
        <is>
          <t>V6.2</t>
        </is>
      </c>
      <c r="B16" s="50" t="inlineStr">
        <is>
          <t>Password Security</t>
        </is>
      </c>
      <c r="C16" s="51" t="inlineStr">
        <is>
          <t>V6.2.10</t>
        </is>
      </c>
      <c r="D16" s="52" t="inlineStr">
        <is>
          <t>Verify that a user's password stays valid until it is discovered to be compromised or the user rotates it. The application must not require periodic credential rotation.</t>
        </is>
      </c>
      <c r="E16" s="48" t="n">
        <v>2</v>
      </c>
      <c r="F16" s="49" t="inlineStr">
        <is>
          <t>Compliant</t>
        </is>
      </c>
      <c r="G16" s="52" t="inlineStr">
        <is>
          <t>Explicitly covered by Deliveries documentation with direct ASVS traceability (design-phase evidence). Residual risk: Implementation verification is still pending for Phase 2 execution.</t>
        </is>
      </c>
      <c r="H16" s="52"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17" ht="30" customHeight="1" s="28">
      <c r="A17" s="45" t="inlineStr">
        <is>
          <t>V6.2</t>
        </is>
      </c>
      <c r="B17" s="45" t="inlineStr">
        <is>
          <t>Password Security</t>
        </is>
      </c>
      <c r="C17" s="46" t="inlineStr">
        <is>
          <t>V6.2.11</t>
        </is>
      </c>
      <c r="D17" s="47" t="inlineStr">
        <is>
          <t>Verify that the documented list of context specific words is used to prevent easy to guess passwords being created.</t>
        </is>
      </c>
      <c r="E17" s="48" t="n">
        <v>2</v>
      </c>
      <c r="F17" s="49" t="inlineStr">
        <is>
          <t>Compliant</t>
        </is>
      </c>
      <c r="G17" s="47" t="inlineStr">
        <is>
          <t>Explicitly covered by Deliveries documentation with direct ASVS traceability (design-phase evidence). Residual risk: Implementation verification is still pending for Phase 2 execution.</t>
        </is>
      </c>
      <c r="H17" s="47"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18" ht="30" customHeight="1" s="28">
      <c r="A18" s="50" t="inlineStr">
        <is>
          <t>V6.2</t>
        </is>
      </c>
      <c r="B18" s="50" t="inlineStr">
        <is>
          <t>Password Security</t>
        </is>
      </c>
      <c r="C18" s="51" t="inlineStr">
        <is>
          <t>V6.2.12</t>
        </is>
      </c>
      <c r="D18" s="52" t="inlineStr">
        <is>
          <t>Verify that passwords submitted during account registration or password changes are checked against a set of breached passwords.</t>
        </is>
      </c>
      <c r="E18" s="48" t="n">
        <v>2</v>
      </c>
      <c r="F18" s="49" t="inlineStr">
        <is>
          <t>Compliant</t>
        </is>
      </c>
      <c r="G18" s="52" t="inlineStr">
        <is>
          <t>Explicitly covered by Deliveries documentation with direct ASVS traceability (design-phase evidence). Residual risk: Implementation verification is still pending for Phase 2 execution.</t>
        </is>
      </c>
      <c r="H18" s="52"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19" ht="18" customHeight="1" s="28">
      <c r="A19" s="44" t="inlineStr">
        <is>
          <t>V6.3</t>
        </is>
      </c>
      <c r="B19" s="44" t="inlineStr">
        <is>
          <t>General Authentication Security</t>
        </is>
      </c>
      <c r="C19" s="44" t="n"/>
      <c r="D19" s="44" t="n"/>
      <c r="E19" s="44" t="n"/>
      <c r="F19" s="44" t="n"/>
      <c r="G19" s="44" t="n"/>
      <c r="H19" s="44" t="n"/>
    </row>
    <row r="20" ht="30" customHeight="1" s="28">
      <c r="A20" s="45" t="inlineStr">
        <is>
          <t>V6.3</t>
        </is>
      </c>
      <c r="B20" s="45" t="inlineStr">
        <is>
          <t>General Authentication Security</t>
        </is>
      </c>
      <c r="C20" s="46" t="inlineStr">
        <is>
          <t>V6.3.1</t>
        </is>
      </c>
      <c r="D20" s="47" t="inlineStr">
        <is>
          <t>Verify that controls to prevent attacks such as credential stuffing and password brute force are implemented according to the application's security documentation.</t>
        </is>
      </c>
      <c r="E20" s="53" t="n">
        <v>1</v>
      </c>
      <c r="F20" s="49" t="inlineStr">
        <is>
          <t>Compliant</t>
        </is>
      </c>
      <c r="G20" s="47" t="inlineStr">
        <is>
          <t>Explicitly covered by Deliveries documentation with direct ASVS traceability (design-phase evidence). Residual risk: Implementation verification is still pending for Phase 2 execution.</t>
        </is>
      </c>
      <c r="H20" s="47" t="inlineStr">
        <is>
          <t>Deliveries/Phase1/traceability-matrix.md (Section 3, traceability matrix, TM-002)</t>
        </is>
      </c>
    </row>
    <row r="21" ht="30" customHeight="1" s="28">
      <c r="A21" s="50" t="inlineStr">
        <is>
          <t>V6.3</t>
        </is>
      </c>
      <c r="B21" s="50" t="inlineStr">
        <is>
          <t>General Authentication Security</t>
        </is>
      </c>
      <c r="C21" s="51" t="inlineStr">
        <is>
          <t>V6.3.2</t>
        </is>
      </c>
      <c r="D21" s="52" t="inlineStr">
        <is>
          <t>Verify that default user accounts (e.g., "root", "admin", or "sa") are not present in the application or are disabled.</t>
        </is>
      </c>
      <c r="E21" s="53" t="n">
        <v>1</v>
      </c>
      <c r="F21" s="49" t="inlineStr">
        <is>
          <t>Compliant</t>
        </is>
      </c>
      <c r="G21" s="52" t="inlineStr">
        <is>
          <t>Explicitly covered by Deliveries documentation with direct ASVS traceability (design-phase evidence). Residual risk: Implementation verification is still pending for Phase 2 execution.</t>
        </is>
      </c>
      <c r="H21" s="52" t="inlineStr">
        <is>
          <t>Deliveries/Phase1/traceability-matrix.md (Section 3, traceability matrix, TM-011)</t>
        </is>
      </c>
    </row>
    <row r="22" ht="30" customHeight="1" s="28">
      <c r="A22" s="45" t="inlineStr">
        <is>
          <t>V6.3</t>
        </is>
      </c>
      <c r="B22" s="45" t="inlineStr">
        <is>
          <t>General Authentication Security</t>
        </is>
      </c>
      <c r="C22" s="46" t="inlineStr">
        <is>
          <t>V6.3.3</t>
        </is>
      </c>
      <c r="D22" s="47" t="inlineStr">
        <is>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is>
      </c>
      <c r="E22" s="48" t="n">
        <v>2</v>
      </c>
      <c r="F22" s="49" t="inlineStr">
        <is>
          <t>Compliant</t>
        </is>
      </c>
      <c r="G22" s="47" t="inlineStr">
        <is>
          <t>Explicitly covered by Deliveries documentation with direct ASVS traceability (design-phase evidence). Residual risk: Implementation verification is still pending for Phase 2 execution.</t>
        </is>
      </c>
      <c r="H22" s="47"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23" ht="30" customHeight="1" s="28">
      <c r="A23" s="50" t="inlineStr">
        <is>
          <t>V6.3</t>
        </is>
      </c>
      <c r="B23" s="50" t="inlineStr">
        <is>
          <t>General Authentication Security</t>
        </is>
      </c>
      <c r="C23" s="51" t="inlineStr">
        <is>
          <t>V6.3.4</t>
        </is>
      </c>
      <c r="D23" s="52" t="inlineStr">
        <is>
          <t>Verify that, if the application includes multiple authentication pathways, there are no undocumented pathways and that security controls and authentication strength are enforced consistently.</t>
        </is>
      </c>
      <c r="E23" s="48" t="n">
        <v>2</v>
      </c>
      <c r="F23" s="49" t="inlineStr">
        <is>
          <t>Compliant</t>
        </is>
      </c>
      <c r="G23" s="52" t="inlineStr">
        <is>
          <t>Explicitly covered by Deliveries documentation with direct ASVS traceability (design-phase evidence). Residual risk: Implementation verification is still pending for Phase 2 execution.</t>
        </is>
      </c>
      <c r="H23" s="52"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24" ht="30" customHeight="1" s="28">
      <c r="A24" s="45" t="inlineStr">
        <is>
          <t>V6.3</t>
        </is>
      </c>
      <c r="B24" s="45" t="inlineStr">
        <is>
          <t>General Authentication Security</t>
        </is>
      </c>
      <c r="C24" s="46" t="inlineStr">
        <is>
          <t>V6.3.5</t>
        </is>
      </c>
      <c r="D24" s="47" t="inlineStr">
        <is>
          <t>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is>
      </c>
      <c r="E24" s="54" t="n">
        <v>3</v>
      </c>
      <c r="F24" s="49" t="inlineStr">
        <is>
          <t>Compliant</t>
        </is>
      </c>
      <c r="G24" s="47" t="inlineStr">
        <is>
          <t>Explicitly covered by Deliveries documentation with direct ASVS traceability (design-phase evidence). Residual risk: Implementation verification is still pending for Phase 2 execution.</t>
        </is>
      </c>
      <c r="H24" s="47"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25" ht="30" customHeight="1" s="28">
      <c r="A25" s="50" t="inlineStr">
        <is>
          <t>V6.3</t>
        </is>
      </c>
      <c r="B25" s="50" t="inlineStr">
        <is>
          <t>General Authentication Security</t>
        </is>
      </c>
      <c r="C25" s="51" t="inlineStr">
        <is>
          <t>V6.3.6</t>
        </is>
      </c>
      <c r="D25" s="52" t="inlineStr">
        <is>
          <t>Verify that email is not used as either a single-factor or multi-factor authentication mechanism.</t>
        </is>
      </c>
      <c r="E25" s="54" t="n">
        <v>3</v>
      </c>
      <c r="F25" s="49" t="inlineStr">
        <is>
          <t>Compliant</t>
        </is>
      </c>
      <c r="G25" s="52" t="inlineStr">
        <is>
          <t>Explicitly covered by Deliveries documentation with direct ASVS traceability (design-phase evidence). Residual risk: Implementation verification is still pending for Phase 2 execution.</t>
        </is>
      </c>
      <c r="H25" s="52"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26" ht="30" customHeight="1" s="28">
      <c r="A26" s="45" t="inlineStr">
        <is>
          <t>V6.3</t>
        </is>
      </c>
      <c r="B26" s="45" t="inlineStr">
        <is>
          <t>General Authentication Security</t>
        </is>
      </c>
      <c r="C26" s="46" t="inlineStr">
        <is>
          <t>V6.3.7</t>
        </is>
      </c>
      <c r="D26" s="47" t="inlineStr">
        <is>
          <t>Verify that users are notified after updates to authentication details, such as credential resets or modification of the username or email address.</t>
        </is>
      </c>
      <c r="E26" s="54" t="n">
        <v>3</v>
      </c>
      <c r="F26" s="49" t="inlineStr">
        <is>
          <t>Compliant</t>
        </is>
      </c>
      <c r="G26" s="47" t="inlineStr">
        <is>
          <t>Explicitly covered by Deliveries documentation with direct ASVS traceability (design-phase evidence). Residual risk: Implementation verification is still pending for Phase 2 execution.</t>
        </is>
      </c>
      <c r="H26" s="47"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27" ht="30" customHeight="1" s="28">
      <c r="A27" s="50" t="inlineStr">
        <is>
          <t>V6.3</t>
        </is>
      </c>
      <c r="B27" s="50" t="inlineStr">
        <is>
          <t>General Authentication Security</t>
        </is>
      </c>
      <c r="C27" s="51" t="inlineStr">
        <is>
          <t>V6.3.8</t>
        </is>
      </c>
      <c r="D27" s="52" t="inlineStr">
        <is>
          <t>Verify that valid users cannot be deduced from failed authentication challenges, such as by basing on error messages, HTTP response codes, or different response times. Registration and forgot password functionality must also have this protection.</t>
        </is>
      </c>
      <c r="E27" s="54" t="n">
        <v>3</v>
      </c>
      <c r="F27" s="49" t="inlineStr">
        <is>
          <t>Compliant</t>
        </is>
      </c>
      <c r="G27" s="52" t="inlineStr">
        <is>
          <t>Explicitly covered by Deliveries documentation with direct ASVS traceability (design-phase evidence). Residual risk: Implementation verification is still pending for Phase 2 execution.</t>
        </is>
      </c>
      <c r="H27" s="52" t="inlineStr">
        <is>
          <t>Deliveries/Phase1/traceability-matrix.md (Section 3, traceability matrix, TM-001)</t>
        </is>
      </c>
    </row>
    <row r="28" ht="18" customHeight="1" s="28">
      <c r="A28" s="44" t="inlineStr">
        <is>
          <t>V6.4</t>
        </is>
      </c>
      <c r="B28" s="44" t="inlineStr">
        <is>
          <t>Authentication Factor Lifecycle and Recovery</t>
        </is>
      </c>
      <c r="C28" s="44" t="n"/>
      <c r="D28" s="44" t="n"/>
      <c r="E28" s="44" t="n"/>
      <c r="F28" s="44" t="n"/>
      <c r="G28" s="44" t="n"/>
      <c r="H28" s="44" t="n"/>
    </row>
    <row r="29" ht="30" customHeight="1" s="28">
      <c r="A29" s="45" t="inlineStr">
        <is>
          <t>V6.4</t>
        </is>
      </c>
      <c r="B29" s="45" t="inlineStr">
        <is>
          <t>Authentication Factor Lifecycle and Recovery</t>
        </is>
      </c>
      <c r="C29" s="46" t="inlineStr">
        <is>
          <t>V6.4.1</t>
        </is>
      </c>
      <c r="D29" s="47" t="inlineStr">
        <is>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is>
      </c>
      <c r="E29" s="53" t="n">
        <v>1</v>
      </c>
      <c r="F29" s="49" t="inlineStr">
        <is>
          <t>Compliant</t>
        </is>
      </c>
      <c r="G29" s="47" t="inlineStr">
        <is>
          <t>Explicitly covered by Deliveries documentation with direct ASVS traceability (design-phase evidence). Residual risk: Implementation verification is still pending for Phase 2 execution.</t>
        </is>
      </c>
      <c r="H29" s="47" t="inlineStr">
        <is>
          <t>Deliveries/Phase1/traceability-matrix.md (Section 3, traceability matrix, TM-011)</t>
        </is>
      </c>
    </row>
    <row r="30" ht="30" customHeight="1" s="28">
      <c r="A30" s="50" t="inlineStr">
        <is>
          <t>V6.4</t>
        </is>
      </c>
      <c r="B30" s="50" t="inlineStr">
        <is>
          <t>Authentication Factor Lifecycle and Recovery</t>
        </is>
      </c>
      <c r="C30" s="51" t="inlineStr">
        <is>
          <t>V6.4.2</t>
        </is>
      </c>
      <c r="D30" s="52" t="inlineStr">
        <is>
          <t>Verify that password hints or knowledge-based authentication (so-called "secret questions") are not present.</t>
        </is>
      </c>
      <c r="E30" s="53" t="n">
        <v>1</v>
      </c>
      <c r="F30" s="49" t="inlineStr">
        <is>
          <t>Compliant</t>
        </is>
      </c>
      <c r="G30" s="52" t="inlineStr">
        <is>
          <t>Explicitly covered by Deliveries documentation with direct ASVS traceability (design-phase evidence). Residual risk: Implementation verification is still pending for Phase 2 execution.</t>
        </is>
      </c>
      <c r="H30" s="52"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31" ht="30" customHeight="1" s="28">
      <c r="A31" s="45" t="inlineStr">
        <is>
          <t>V6.4</t>
        </is>
      </c>
      <c r="B31" s="45" t="inlineStr">
        <is>
          <t>Authentication Factor Lifecycle and Recovery</t>
        </is>
      </c>
      <c r="C31" s="46" t="inlineStr">
        <is>
          <t>V6.4.3</t>
        </is>
      </c>
      <c r="D31" s="47" t="inlineStr">
        <is>
          <t>Verify that a secure process for resetting a forgotten password is implemented, that does not bypass any enabled multi-factor authentication mechanisms.</t>
        </is>
      </c>
      <c r="E31" s="48" t="n">
        <v>2</v>
      </c>
      <c r="F31" s="49" t="inlineStr">
        <is>
          <t>Compliant</t>
        </is>
      </c>
      <c r="G31" s="47" t="inlineStr">
        <is>
          <t>Explicitly covered by Deliveries documentation with direct ASVS traceability (design-phase evidence). Residual risk: Implementation verification is still pending for Phase 2 execution.</t>
        </is>
      </c>
      <c r="H31" s="47"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32" ht="30" customHeight="1" s="28">
      <c r="A32" s="50" t="inlineStr">
        <is>
          <t>V6.4</t>
        </is>
      </c>
      <c r="B32" s="50" t="inlineStr">
        <is>
          <t>Authentication Factor Lifecycle and Recovery</t>
        </is>
      </c>
      <c r="C32" s="51" t="inlineStr">
        <is>
          <t>V6.4.4</t>
        </is>
      </c>
      <c r="D32" s="52" t="inlineStr">
        <is>
          <t>Verify that if a multi-factor authentication factor is lost, evidence of identity proofing is performed at the same level as during enrollment.</t>
        </is>
      </c>
      <c r="E32" s="48" t="n">
        <v>2</v>
      </c>
      <c r="F32" s="49" t="inlineStr">
        <is>
          <t>Compliant</t>
        </is>
      </c>
      <c r="G32" s="52" t="inlineStr">
        <is>
          <t>Explicitly covered by Deliveries documentation with direct ASVS traceability (design-phase evidence). Residual risk: Implementation verification is still pending for Phase 2 execution.</t>
        </is>
      </c>
      <c r="H32" s="52"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33" ht="30" customHeight="1" s="28">
      <c r="A33" s="45" t="inlineStr">
        <is>
          <t>V6.4</t>
        </is>
      </c>
      <c r="B33" s="45" t="inlineStr">
        <is>
          <t>Authentication Factor Lifecycle and Recovery</t>
        </is>
      </c>
      <c r="C33" s="46" t="inlineStr">
        <is>
          <t>V6.4.5</t>
        </is>
      </c>
      <c r="D33" s="47" t="inlineStr">
        <is>
          <t>Verify that renewal instructions for authentication mechanisms which expire are sent with enough time to be carried out before the old authentication mechanism expires, configuring automated reminders if necessary.</t>
        </is>
      </c>
      <c r="E33" s="54" t="n">
        <v>3</v>
      </c>
      <c r="F33" s="49" t="inlineStr">
        <is>
          <t>Compliant</t>
        </is>
      </c>
      <c r="G33" s="47" t="inlineStr">
        <is>
          <t>Explicitly covered by Deliveries documentation with direct ASVS traceability (design-phase evidence). Residual risk: Implementation verification is still pending for Phase 2 execution.</t>
        </is>
      </c>
      <c r="H33" s="47"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34" ht="30" customHeight="1" s="28">
      <c r="A34" s="50" t="inlineStr">
        <is>
          <t>V6.4</t>
        </is>
      </c>
      <c r="B34" s="50" t="inlineStr">
        <is>
          <t>Authentication Factor Lifecycle and Recovery</t>
        </is>
      </c>
      <c r="C34" s="51" t="inlineStr">
        <is>
          <t>V6.4.6</t>
        </is>
      </c>
      <c r="D34" s="52" t="inlineStr">
        <is>
          <t>Verify that administrative users can initiate the password reset process for the user, but that this does not allow them to change or choose the user's password. This prevents a situation where they know the user's password.</t>
        </is>
      </c>
      <c r="E34" s="54" t="n">
        <v>3</v>
      </c>
      <c r="F34" s="49" t="inlineStr">
        <is>
          <t>Compliant</t>
        </is>
      </c>
      <c r="G34" s="52" t="inlineStr">
        <is>
          <t>Explicitly covered by Deliveries documentation with direct ASVS traceability (design-phase evidence). Residual risk: Implementation verification is still pending for Phase 2 execution.</t>
        </is>
      </c>
      <c r="H34" s="52"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35" ht="18" customHeight="1" s="28">
      <c r="A35" s="44" t="inlineStr">
        <is>
          <t>V6.5</t>
        </is>
      </c>
      <c r="B35" s="44" t="inlineStr">
        <is>
          <t>General Multi-factor authentication requirements</t>
        </is>
      </c>
      <c r="C35" s="44" t="n"/>
      <c r="D35" s="44" t="n"/>
      <c r="E35" s="44" t="n"/>
      <c r="F35" s="44" t="n"/>
      <c r="G35" s="44" t="n"/>
      <c r="H35" s="44" t="n"/>
    </row>
    <row r="36" ht="30" customHeight="1" s="28">
      <c r="A36" s="45" t="inlineStr">
        <is>
          <t>V6.5</t>
        </is>
      </c>
      <c r="B36" s="45" t="inlineStr">
        <is>
          <t>General Multi-factor authentication requirements</t>
        </is>
      </c>
      <c r="C36" s="46" t="inlineStr">
        <is>
          <t>V6.5.1</t>
        </is>
      </c>
      <c r="D36" s="47" t="inlineStr">
        <is>
          <t>Verify that lookup secrets, out-of-band authentication requests or codes, and time-based one-time passwords (TOTPs) are only successfully usable once.</t>
        </is>
      </c>
      <c r="E36" s="48" t="n">
        <v>2</v>
      </c>
      <c r="F36" s="49" t="inlineStr">
        <is>
          <t>Compliant</t>
        </is>
      </c>
      <c r="G36" s="47" t="inlineStr">
        <is>
          <t>Explicitly covered by Deliveries documentation with direct ASVS traceability (design-phase evidence). Residual risk: Implementation verification is still pending for Phase 2 execution.</t>
        </is>
      </c>
      <c r="H36" s="47"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37" ht="30" customHeight="1" s="28">
      <c r="A37" s="50" t="inlineStr">
        <is>
          <t>V6.5</t>
        </is>
      </c>
      <c r="B37" s="50" t="inlineStr">
        <is>
          <t>General Multi-factor authentication requirements</t>
        </is>
      </c>
      <c r="C37" s="51" t="inlineStr">
        <is>
          <t>V6.5.2</t>
        </is>
      </c>
      <c r="D37" s="52" t="inlineStr">
        <is>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is>
      </c>
      <c r="E37" s="48" t="n">
        <v>2</v>
      </c>
      <c r="F37" s="49" t="inlineStr">
        <is>
          <t>Compliant</t>
        </is>
      </c>
      <c r="G37" s="52" t="inlineStr">
        <is>
          <t>Explicitly covered by Deliveries documentation with direct ASVS traceability (design-phase evidence). Residual risk: Implementation verification is still pending for Phase 2 execution.</t>
        </is>
      </c>
      <c r="H37" s="52"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38" ht="30" customHeight="1" s="28">
      <c r="A38" s="45" t="inlineStr">
        <is>
          <t>V6.5</t>
        </is>
      </c>
      <c r="B38" s="45" t="inlineStr">
        <is>
          <t>General Multi-factor authentication requirements</t>
        </is>
      </c>
      <c r="C38" s="46" t="inlineStr">
        <is>
          <t>V6.5.3</t>
        </is>
      </c>
      <c r="D38" s="47" t="inlineStr">
        <is>
          <t>Verify that lookup secrets, out-of-band authentication code, and time-based one-time password seeds, are generated using a Cryptographically Secure Pseudorandom Number Generator (CSPRNG) to avoid predictable values.</t>
        </is>
      </c>
      <c r="E38" s="48" t="n">
        <v>2</v>
      </c>
      <c r="F38" s="49" t="inlineStr">
        <is>
          <t>Compliant</t>
        </is>
      </c>
      <c r="G38" s="47" t="inlineStr">
        <is>
          <t>Explicitly covered by Deliveries documentation with direct ASVS traceability (design-phase evidence). Residual risk: Implementation verification is still pending for Phase 2 execution.</t>
        </is>
      </c>
      <c r="H38" s="47"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39" ht="30" customHeight="1" s="28">
      <c r="A39" s="50" t="inlineStr">
        <is>
          <t>V6.5</t>
        </is>
      </c>
      <c r="B39" s="50" t="inlineStr">
        <is>
          <t>General Multi-factor authentication requirements</t>
        </is>
      </c>
      <c r="C39" s="51" t="inlineStr">
        <is>
          <t>V6.5.4</t>
        </is>
      </c>
      <c r="D39" s="52" t="inlineStr">
        <is>
          <t>Verify that lookup secrets and out-of-band authentication codes have a minimum of 20 bits of entropy (typically 4 random alphanumeric characters or 6 random digits is sufficient).</t>
        </is>
      </c>
      <c r="E39" s="48" t="n">
        <v>2</v>
      </c>
      <c r="F39" s="49" t="inlineStr">
        <is>
          <t>Compliant</t>
        </is>
      </c>
      <c r="G39" s="52" t="inlineStr">
        <is>
          <t>Explicitly covered by Deliveries documentation with direct ASVS traceability (design-phase evidence). Residual risk: Implementation verification is still pending for Phase 2 execution.</t>
        </is>
      </c>
      <c r="H39" s="52"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40" ht="30" customHeight="1" s="28">
      <c r="A40" s="45" t="inlineStr">
        <is>
          <t>V6.5</t>
        </is>
      </c>
      <c r="B40" s="45" t="inlineStr">
        <is>
          <t>General Multi-factor authentication requirements</t>
        </is>
      </c>
      <c r="C40" s="46" t="inlineStr">
        <is>
          <t>V6.5.5</t>
        </is>
      </c>
      <c r="D40" s="47" t="inlineStr">
        <is>
          <t>Verify that out-of-band authentication requests, codes, or tokens, as well as time-based one-time passwords (TOTPs) have a defined lifetime. Out of band requests must have a maximum lifetime of 10 minutes and for TOTP a maximum lifetime of 30 seconds.</t>
        </is>
      </c>
      <c r="E40" s="48" t="n">
        <v>2</v>
      </c>
      <c r="F40" s="49" t="inlineStr">
        <is>
          <t>Compliant</t>
        </is>
      </c>
      <c r="G40" s="47" t="inlineStr">
        <is>
          <t>Explicitly covered by Deliveries documentation with direct ASVS traceability (design-phase evidence). Residual risk: Implementation verification is still pending for Phase 2 execution.</t>
        </is>
      </c>
      <c r="H40" s="47"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41" ht="30" customHeight="1" s="28">
      <c r="A41" s="50" t="inlineStr">
        <is>
          <t>V6.5</t>
        </is>
      </c>
      <c r="B41" s="50" t="inlineStr">
        <is>
          <t>General Multi-factor authentication requirements</t>
        </is>
      </c>
      <c r="C41" s="51" t="inlineStr">
        <is>
          <t>V6.5.6</t>
        </is>
      </c>
      <c r="D41" s="52" t="inlineStr">
        <is>
          <t>Verify that any authentication factor (including physical devices) can be revoked in case of theft or other loss.</t>
        </is>
      </c>
      <c r="E41" s="54" t="n">
        <v>3</v>
      </c>
      <c r="F41" s="49" t="inlineStr">
        <is>
          <t>Compliant</t>
        </is>
      </c>
      <c r="G41" s="52" t="inlineStr">
        <is>
          <t>Explicitly covered by Deliveries documentation with direct ASVS traceability (design-phase evidence). Residual risk: Implementation verification is still pending for Phase 2 execution.</t>
        </is>
      </c>
      <c r="H41" s="52"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42" ht="30" customHeight="1" s="28">
      <c r="A42" s="45" t="inlineStr">
        <is>
          <t>V6.5</t>
        </is>
      </c>
      <c r="B42" s="45" t="inlineStr">
        <is>
          <t>General Multi-factor authentication requirements</t>
        </is>
      </c>
      <c r="C42" s="46" t="inlineStr">
        <is>
          <t>V6.5.7</t>
        </is>
      </c>
      <c r="D42" s="47" t="inlineStr">
        <is>
          <t>Verify that biometric authentication mechanisms are only used as secondary factors together with either something you have or something you know.</t>
        </is>
      </c>
      <c r="E42" s="54" t="n">
        <v>3</v>
      </c>
      <c r="F42" s="49" t="inlineStr">
        <is>
          <t>Compliant</t>
        </is>
      </c>
      <c r="G42" s="47" t="inlineStr">
        <is>
          <t>Explicitly covered by Deliveries documentation with direct ASVS traceability (design-phase evidence). Residual risk: Implementation verification is still pending for Phase 2 execution.</t>
        </is>
      </c>
      <c r="H42" s="47"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43" ht="30" customHeight="1" s="28">
      <c r="A43" s="50" t="inlineStr">
        <is>
          <t>V6.5</t>
        </is>
      </c>
      <c r="B43" s="50" t="inlineStr">
        <is>
          <t>General Multi-factor authentication requirements</t>
        </is>
      </c>
      <c r="C43" s="51" t="inlineStr">
        <is>
          <t>V6.5.8</t>
        </is>
      </c>
      <c r="D43" s="52" t="inlineStr">
        <is>
          <t>Verify that time-based one-time passwords (TOTPs) are checked based on a time source from a trusted service and not from an untrusted or client provided time.</t>
        </is>
      </c>
      <c r="E43" s="54" t="n">
        <v>3</v>
      </c>
      <c r="F43" s="49" t="inlineStr">
        <is>
          <t>Compliant</t>
        </is>
      </c>
      <c r="G43" s="52" t="inlineStr">
        <is>
          <t>Explicitly covered by Deliveries documentation with direct ASVS traceability (design-phase evidence). Residual risk: Implementation verification is still pending for Phase 2 execution.</t>
        </is>
      </c>
      <c r="H43" s="52"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44" ht="18" customHeight="1" s="28">
      <c r="A44" s="44" t="inlineStr">
        <is>
          <t>V6.6</t>
        </is>
      </c>
      <c r="B44" s="44" t="inlineStr">
        <is>
          <t>Out-of-Band authentication mechanisms</t>
        </is>
      </c>
      <c r="C44" s="44" t="n"/>
      <c r="D44" s="44" t="n"/>
      <c r="E44" s="44" t="n"/>
      <c r="F44" s="44" t="n"/>
      <c r="G44" s="44" t="n"/>
      <c r="H44" s="44" t="n"/>
    </row>
    <row r="45" ht="30" customHeight="1" s="28">
      <c r="A45" s="45" t="inlineStr">
        <is>
          <t>V6.6</t>
        </is>
      </c>
      <c r="B45" s="45" t="inlineStr">
        <is>
          <t>Out-of-Band authentication mechanisms</t>
        </is>
      </c>
      <c r="C45" s="46" t="inlineStr">
        <is>
          <t>V6.6.1</t>
        </is>
      </c>
      <c r="D45" s="47" t="inlineStr">
        <is>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is>
      </c>
      <c r="E45" s="48" t="n">
        <v>2</v>
      </c>
      <c r="F45" s="49" t="inlineStr">
        <is>
          <t>Compliant</t>
        </is>
      </c>
      <c r="G45" s="47" t="inlineStr">
        <is>
          <t>Explicitly covered by Deliveries documentation with direct ASVS traceability (design-phase evidence). Residual risk: Implementation verification is still pending for Phase 2 execution.</t>
        </is>
      </c>
      <c r="H45" s="47"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46" ht="30" customHeight="1" s="28">
      <c r="A46" s="50" t="inlineStr">
        <is>
          <t>V6.6</t>
        </is>
      </c>
      <c r="B46" s="50" t="inlineStr">
        <is>
          <t>Out-of-Band authentication mechanisms</t>
        </is>
      </c>
      <c r="C46" s="51" t="inlineStr">
        <is>
          <t>V6.6.2</t>
        </is>
      </c>
      <c r="D46" s="52" t="inlineStr">
        <is>
          <t>Verify that out-of-band authentication requests, codes, or tokens are bound to the original authentication request for which they were generated and are not usable for a previous or subsequent one.</t>
        </is>
      </c>
      <c r="E46" s="48" t="n">
        <v>2</v>
      </c>
      <c r="F46" s="49" t="inlineStr">
        <is>
          <t>Compliant</t>
        </is>
      </c>
      <c r="G46" s="52" t="inlineStr">
        <is>
          <t>Explicitly covered by Deliveries documentation with direct ASVS traceability (design-phase evidence). Residual risk: Implementation verification is still pending for Phase 2 execution.</t>
        </is>
      </c>
      <c r="H46" s="52"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47" ht="30" customHeight="1" s="28">
      <c r="A47" s="45" t="inlineStr">
        <is>
          <t>V6.6</t>
        </is>
      </c>
      <c r="B47" s="45" t="inlineStr">
        <is>
          <t>Out-of-Band authentication mechanisms</t>
        </is>
      </c>
      <c r="C47" s="46" t="inlineStr">
        <is>
          <t>V6.6.3</t>
        </is>
      </c>
      <c r="D47" s="47" t="inlineStr">
        <is>
          <t>Verify that a code based out-of-band authentication mechanism is protected against brute force attacks by using rate limiting. Consider also using a code with at least 64 bits of entropy.</t>
        </is>
      </c>
      <c r="E47" s="48" t="n">
        <v>2</v>
      </c>
      <c r="F47" s="49" t="inlineStr">
        <is>
          <t>Compliant</t>
        </is>
      </c>
      <c r="G47" s="47" t="inlineStr">
        <is>
          <t>Explicitly covered by Deliveries documentation with direct ASVS traceability (design-phase evidence). Residual risk: Implementation verification is still pending for Phase 2 execution.</t>
        </is>
      </c>
      <c r="H47" s="47"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48" ht="30" customHeight="1" s="28">
      <c r="A48" s="50" t="inlineStr">
        <is>
          <t>V6.6</t>
        </is>
      </c>
      <c r="B48" s="50" t="inlineStr">
        <is>
          <t>Out-of-Band authentication mechanisms</t>
        </is>
      </c>
      <c r="C48" s="51" t="inlineStr">
        <is>
          <t>V6.6.4</t>
        </is>
      </c>
      <c r="D48" s="52" t="inlineStr">
        <is>
          <t>Verify that, where push notifications are used for multi-factor authentication, rate limiting is used to prevent push bombing attacks. Number matching may also mitigate this risk.</t>
        </is>
      </c>
      <c r="E48" s="54" t="n">
        <v>3</v>
      </c>
      <c r="F48" s="49" t="inlineStr">
        <is>
          <t>Compliant</t>
        </is>
      </c>
      <c r="G48" s="52" t="inlineStr">
        <is>
          <t>Explicitly covered by Deliveries documentation with direct ASVS traceability (design-phase evidence). Residual risk: Implementation verification is still pending for Phase 2 execution.</t>
        </is>
      </c>
      <c r="H48" s="52"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49" ht="18" customHeight="1" s="28">
      <c r="A49" s="44" t="inlineStr">
        <is>
          <t>V6.7</t>
        </is>
      </c>
      <c r="B49" s="44" t="inlineStr">
        <is>
          <t>Cryptographic authentication mechanism</t>
        </is>
      </c>
      <c r="C49" s="44" t="n"/>
      <c r="D49" s="44" t="n"/>
      <c r="E49" s="44" t="n"/>
      <c r="F49" s="44" t="n"/>
      <c r="G49" s="44" t="n"/>
      <c r="H49" s="44" t="n"/>
    </row>
    <row r="50" ht="30" customHeight="1" s="28">
      <c r="A50" s="45" t="inlineStr">
        <is>
          <t>V6.7</t>
        </is>
      </c>
      <c r="B50" s="45" t="inlineStr">
        <is>
          <t>Cryptographic authentication mechanism</t>
        </is>
      </c>
      <c r="C50" s="46" t="inlineStr">
        <is>
          <t>V6.7.1</t>
        </is>
      </c>
      <c r="D50" s="47" t="inlineStr">
        <is>
          <t>Verify that the certificates used to verify cryptographic authentication assertions are stored in a way protects them from modification.</t>
        </is>
      </c>
      <c r="E50" s="54" t="n">
        <v>3</v>
      </c>
      <c r="F50" s="49" t="inlineStr">
        <is>
          <t>Compliant</t>
        </is>
      </c>
      <c r="G50" s="47" t="inlineStr">
        <is>
          <t>Explicitly covered by Deliveries documentation with direct ASVS traceability (design-phase evidence). Residual risk: Implementation verification is still pending for Phase 2 execution.</t>
        </is>
      </c>
      <c r="H50" s="47"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51" ht="30" customHeight="1" s="28">
      <c r="A51" s="50" t="inlineStr">
        <is>
          <t>V6.7</t>
        </is>
      </c>
      <c r="B51" s="50" t="inlineStr">
        <is>
          <t>Cryptographic authentication mechanism</t>
        </is>
      </c>
      <c r="C51" s="51" t="inlineStr">
        <is>
          <t>V6.7.2</t>
        </is>
      </c>
      <c r="D51" s="52" t="inlineStr">
        <is>
          <t>Verify that the challenge nonce is at least 64 bits in length, and statistically unique or unique over the lifetime of the cryptographic device.</t>
        </is>
      </c>
      <c r="E51" s="54" t="n">
        <v>3</v>
      </c>
      <c r="F51" s="49" t="inlineStr">
        <is>
          <t>Compliant</t>
        </is>
      </c>
      <c r="G51" s="52" t="inlineStr">
        <is>
          <t>Explicitly covered by Deliveries documentation with direct ASVS traceability (design-phase evidence). Residual risk: Implementation verification is still pending for Phase 2 execution.</t>
        </is>
      </c>
      <c r="H51" s="52"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52" ht="18" customHeight="1" s="28">
      <c r="A52" s="44" t="inlineStr">
        <is>
          <t>V6.8</t>
        </is>
      </c>
      <c r="B52" s="44" t="inlineStr">
        <is>
          <t>Authentication with an Identity Provider</t>
        </is>
      </c>
      <c r="C52" s="44" t="n"/>
      <c r="D52" s="44" t="n"/>
      <c r="E52" s="44" t="n"/>
      <c r="F52" s="44" t="n"/>
      <c r="G52" s="44" t="n"/>
      <c r="H52" s="44" t="n"/>
    </row>
    <row r="53" ht="30" customHeight="1" s="28">
      <c r="A53" s="45" t="inlineStr">
        <is>
          <t>V6.8</t>
        </is>
      </c>
      <c r="B53" s="45" t="inlineStr">
        <is>
          <t>Authentication with an Identity Provider</t>
        </is>
      </c>
      <c r="C53" s="46" t="inlineStr">
        <is>
          <t>V6.8.1</t>
        </is>
      </c>
      <c r="D53" s="47" t="inlineStr">
        <is>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is>
      </c>
      <c r="E53" s="48" t="n">
        <v>2</v>
      </c>
      <c r="F53" s="49" t="inlineStr">
        <is>
          <t>Compliant</t>
        </is>
      </c>
      <c r="G53" s="47" t="inlineStr">
        <is>
          <t>Explicitly covered by Deliveries documentation with direct ASVS traceability (design-phase evidence). Residual risk: Implementation verification is still pending for Phase 2 execution.</t>
        </is>
      </c>
      <c r="H53" s="47"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54" ht="30" customHeight="1" s="28">
      <c r="A54" s="50" t="inlineStr">
        <is>
          <t>V6.8</t>
        </is>
      </c>
      <c r="B54" s="50" t="inlineStr">
        <is>
          <t>Authentication with an Identity Provider</t>
        </is>
      </c>
      <c r="C54" s="51" t="inlineStr">
        <is>
          <t>V6.8.2</t>
        </is>
      </c>
      <c r="D54" s="52" t="inlineStr">
        <is>
          <t>Verify that the presence and integrity of digital signatures on authentication assertions (for example on JWTs or SAML assertions) are always validated, rejecting any assertions that are unsigned or have invalid signatures.</t>
        </is>
      </c>
      <c r="E54" s="48" t="n">
        <v>2</v>
      </c>
      <c r="F54" s="49" t="inlineStr">
        <is>
          <t>Compliant</t>
        </is>
      </c>
      <c r="G54" s="52" t="inlineStr">
        <is>
          <t>Explicitly covered by Deliveries documentation with direct ASVS traceability (design-phase evidence). Residual risk: Implementation verification is still pending for Phase 2 execution.</t>
        </is>
      </c>
      <c r="H54" s="52"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55" ht="30" customHeight="1" s="28">
      <c r="A55" s="45" t="inlineStr">
        <is>
          <t>V6.8</t>
        </is>
      </c>
      <c r="B55" s="45" t="inlineStr">
        <is>
          <t>Authentication with an Identity Provider</t>
        </is>
      </c>
      <c r="C55" s="46" t="inlineStr">
        <is>
          <t>V6.8.3</t>
        </is>
      </c>
      <c r="D55" s="47" t="inlineStr">
        <is>
          <t>Verify that SAML assertions are uniquely processed and used only once within the validity period to prevent replay attacks.</t>
        </is>
      </c>
      <c r="E55" s="48" t="n">
        <v>2</v>
      </c>
      <c r="F55" s="49" t="inlineStr">
        <is>
          <t>Compliant</t>
        </is>
      </c>
      <c r="G55" s="47" t="inlineStr">
        <is>
          <t>Explicitly covered by Deliveries documentation with direct ASVS traceability (design-phase evidence). Residual risk: Implementation verification is still pending for Phase 2 execution.</t>
        </is>
      </c>
      <c r="H55" s="47"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56" ht="30" customHeight="1" s="28">
      <c r="A56" s="50" t="inlineStr">
        <is>
          <t>V6.8</t>
        </is>
      </c>
      <c r="B56" s="50" t="inlineStr">
        <is>
          <t>Authentication with an Identity Provider</t>
        </is>
      </c>
      <c r="C56" s="51" t="inlineStr">
        <is>
          <t>V6.8.4</t>
        </is>
      </c>
      <c r="D56" s="52" t="inlineStr">
        <is>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is>
      </c>
      <c r="E56" s="48" t="n">
        <v>2</v>
      </c>
      <c r="F56" s="49" t="inlineStr">
        <is>
          <t>Compliant</t>
        </is>
      </c>
      <c r="G56" s="52" t="inlineStr">
        <is>
          <t>Explicitly covered by Deliveries documentation with direct ASVS traceability (design-phase evidence). Residual risk: Implementation verification is still pending for Phase 2 execution.</t>
        </is>
      </c>
      <c r="H56" s="52"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sheetData>
  <conditionalFormatting sqref="F2:F56">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56"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AC26"/>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V7.1</t>
        </is>
      </c>
      <c r="B2" s="44" t="inlineStr">
        <is>
          <t>Session Management Documentation</t>
        </is>
      </c>
      <c r="C2" s="44" t="n"/>
      <c r="D2" s="44" t="n"/>
      <c r="E2" s="44" t="n"/>
      <c r="F2" s="44" t="n"/>
      <c r="G2" s="44" t="n"/>
      <c r="H2" s="44" t="n"/>
    </row>
    <row r="3" ht="30" customHeight="1" s="28">
      <c r="A3" s="45" t="inlineStr">
        <is>
          <t>V7.1</t>
        </is>
      </c>
      <c r="B3" s="45" t="inlineStr">
        <is>
          <t>Session Management Documentation</t>
        </is>
      </c>
      <c r="C3" s="46" t="inlineStr">
        <is>
          <t>V7.1.1</t>
        </is>
      </c>
      <c r="D3" s="47" t="inlineStr">
        <is>
          <t>Verify that the user's session inactivity timeout and absolute maximum session lifetime are documented, are appropriate in combination with other controls, and that the documentation includes justification for any deviations from NIST SP 800-63B re-authentication requirements.</t>
        </is>
      </c>
      <c r="E3" s="48" t="n">
        <v>2</v>
      </c>
      <c r="F3" s="49" t="inlineStr">
        <is>
          <t>Compliant</t>
        </is>
      </c>
      <c r="G3" s="47" t="inlineStr">
        <is>
          <t>Explicitly covered by Deliveries documentation with direct ASVS traceability (design-phase evidence). Residual risk: Implementation verification is still pending for Phase 2 execution.</t>
        </is>
      </c>
      <c r="H3" s="47" t="inlineStr">
        <is>
          <t>backend/src/main/java/com/desofs/project/config/SecurityConfig.java; backend/src/main/java/com/desofs/project/config/JwtService.java; backend/src/main/java/com/desofs/project/user/services/TokenRevocationService.java; backend/src/main/java/com/desofs/project/user/controller/AuthController.java; backend/src/main/resources/application.yml</t>
        </is>
      </c>
    </row>
    <row r="4" ht="30" customHeight="1" s="28">
      <c r="A4" s="50" t="inlineStr">
        <is>
          <t>V7.1</t>
        </is>
      </c>
      <c r="B4" s="50" t="inlineStr">
        <is>
          <t>Session Management Documentation</t>
        </is>
      </c>
      <c r="C4" s="51" t="inlineStr">
        <is>
          <t>V7.1.2</t>
        </is>
      </c>
      <c r="D4" s="52" t="inlineStr">
        <is>
          <t>Verify that the documentation defines how many concurrent (parallel) sessions are allowed for one account as well as the intended behaviors and actions to be taken when the maximum number of active sessions is reached.</t>
        </is>
      </c>
      <c r="E4" s="48" t="n">
        <v>2</v>
      </c>
      <c r="F4" s="49" t="inlineStr">
        <is>
          <t>Compliant</t>
        </is>
      </c>
      <c r="G4" s="52" t="inlineStr">
        <is>
          <t>Explicitly covered by Deliveries documentation with direct ASVS traceability (design-phase evidence). Residual risk: Implementation verification is still pending for Phase 2 execution.</t>
        </is>
      </c>
      <c r="H4" s="52" t="inlineStr">
        <is>
          <t>backend/src/main/java/com/desofs/project/config/SecurityConfig.java; backend/src/main/java/com/desofs/project/config/JwtService.java; backend/src/main/java/com/desofs/project/user/services/TokenRevocationService.java; backend/src/main/java/com/desofs/project/user/controller/AuthController.java; backend/src/main/resources/application.yml</t>
        </is>
      </c>
    </row>
    <row r="5" ht="30" customHeight="1" s="28">
      <c r="A5" s="45" t="inlineStr">
        <is>
          <t>V7.1</t>
        </is>
      </c>
      <c r="B5" s="45" t="inlineStr">
        <is>
          <t>Session Management Documentation</t>
        </is>
      </c>
      <c r="C5" s="46" t="inlineStr">
        <is>
          <t>V7.1.3</t>
        </is>
      </c>
      <c r="D5" s="47" t="inlineStr">
        <is>
          <t>Verify that all systems that create and manage user sessions as part of a federated identity management ecosystem (such as SSO systems) are documented along with controls to coordinate session lifetimes, termination, and any other conditions that require re-authentication.</t>
        </is>
      </c>
      <c r="E5" s="48" t="n">
        <v>2</v>
      </c>
      <c r="F5" s="49" t="inlineStr">
        <is>
          <t>Compliant</t>
        </is>
      </c>
      <c r="G5" s="47" t="inlineStr">
        <is>
          <t>Explicitly covered by Deliveries documentation with direct ASVS traceability (design-phase evidence). Residual risk: Implementation verification is still pending for Phase 2 execution.</t>
        </is>
      </c>
      <c r="H5" s="47" t="inlineStr">
        <is>
          <t>backend/src/main/java/com/desofs/project/config/SecurityConfig.java; backend/src/main/java/com/desofs/project/config/JwtService.java; backend/src/main/java/com/desofs/project/user/services/TokenRevocationService.java; backend/src/main/java/com/desofs/project/user/controller/AuthController.java; backend/src/main/resources/application.yml</t>
        </is>
      </c>
    </row>
    <row r="6" ht="18" customHeight="1" s="28">
      <c r="A6" s="44" t="inlineStr">
        <is>
          <t>V7.2</t>
        </is>
      </c>
      <c r="B6" s="44" t="inlineStr">
        <is>
          <t>Fundamental Session Management Security</t>
        </is>
      </c>
      <c r="C6" s="44" t="n"/>
      <c r="D6" s="44" t="n"/>
      <c r="E6" s="44" t="n"/>
      <c r="F6" s="44" t="n"/>
      <c r="G6" s="44" t="n"/>
      <c r="H6" s="44" t="n"/>
    </row>
    <row r="7" ht="30" customHeight="1" s="28">
      <c r="A7" s="45" t="inlineStr">
        <is>
          <t>V7.2</t>
        </is>
      </c>
      <c r="B7" s="45" t="inlineStr">
        <is>
          <t>Fundamental Session Management Security</t>
        </is>
      </c>
      <c r="C7" s="46" t="inlineStr">
        <is>
          <t>V7.2.1</t>
        </is>
      </c>
      <c r="D7" s="47" t="inlineStr">
        <is>
          <t>Verify that the application performs all session token verification using a trusted, backend service.</t>
        </is>
      </c>
      <c r="E7" s="53" t="n">
        <v>1</v>
      </c>
      <c r="F7" s="49" t="inlineStr">
        <is>
          <t>Compliant</t>
        </is>
      </c>
      <c r="G7" s="47" t="inlineStr">
        <is>
          <t>Explicitly covered by Deliveries documentation with direct ASVS traceability (design-phase evidence). Residual risk: Implementation verification is still pending for Phase 2 execution.</t>
        </is>
      </c>
      <c r="H7" s="47" t="inlineStr">
        <is>
          <t>backend/src/main/java/com/desofs/project/config/SecurityConfig.java; backend/src/main/java/com/desofs/project/config/JwtService.java; backend/src/main/java/com/desofs/project/user/services/TokenRevocationService.java; backend/src/main/java/com/desofs/project/user/controller/AuthController.java; backend/src/main/resources/application.yml</t>
        </is>
      </c>
    </row>
    <row r="8" ht="30" customHeight="1" s="28">
      <c r="A8" s="50" t="inlineStr">
        <is>
          <t>V7.2</t>
        </is>
      </c>
      <c r="B8" s="50" t="inlineStr">
        <is>
          <t>Fundamental Session Management Security</t>
        </is>
      </c>
      <c r="C8" s="51" t="inlineStr">
        <is>
          <t>V7.2.2</t>
        </is>
      </c>
      <c r="D8" s="52" t="inlineStr">
        <is>
          <t>Verify that the application uses either self-contained or reference tokens that are dynamically generated for session management, i.e. not using static API secrets and keys.</t>
        </is>
      </c>
      <c r="E8" s="53" t="n">
        <v>1</v>
      </c>
      <c r="F8" s="49" t="inlineStr">
        <is>
          <t>Compliant</t>
        </is>
      </c>
      <c r="G8" s="52" t="inlineStr">
        <is>
          <t>Explicitly covered by Deliveries documentation with direct ASVS traceability (design-phase evidence). Residual risk: Implementation verification is still pending for Phase 2 execution.</t>
        </is>
      </c>
      <c r="H8" s="52" t="inlineStr">
        <is>
          <t>Deliveries/Phase1/traceability-matrix.md (Section 3, traceability matrix, TM-012)</t>
        </is>
      </c>
    </row>
    <row r="9" ht="30" customHeight="1" s="28">
      <c r="A9" s="45" t="inlineStr">
        <is>
          <t>V7.2</t>
        </is>
      </c>
      <c r="B9" s="45" t="inlineStr">
        <is>
          <t>Fundamental Session Management Security</t>
        </is>
      </c>
      <c r="C9" s="46" t="inlineStr">
        <is>
          <t>V7.2.3</t>
        </is>
      </c>
      <c r="D9" s="47" t="inlineStr">
        <is>
          <t>Verify that if reference tokens are used to represent user sessions, they are unique and generated using a cryptographically secure pseudo-random number generator (CSPRNG) and possess at least 128 bits of entropy.</t>
        </is>
      </c>
      <c r="E9" s="53" t="n">
        <v>1</v>
      </c>
      <c r="F9" s="49" t="inlineStr">
        <is>
          <t>Compliant</t>
        </is>
      </c>
      <c r="G9" s="47" t="inlineStr">
        <is>
          <t>Explicitly covered by Deliveries documentation with direct ASVS traceability (design-phase evidence). Residual risk: Implementation verification is still pending for Phase 2 execution.</t>
        </is>
      </c>
      <c r="H9" s="47" t="inlineStr">
        <is>
          <t>backend/src/main/java/com/desofs/project/config/SecurityConfig.java; backend/src/main/java/com/desofs/project/config/JwtService.java; backend/src/main/java/com/desofs/project/user/services/TokenRevocationService.java; backend/src/main/java/com/desofs/project/user/controller/AuthController.java; backend/src/main/resources/application.yml</t>
        </is>
      </c>
    </row>
    <row r="10" ht="30" customHeight="1" s="28">
      <c r="A10" s="50" t="inlineStr">
        <is>
          <t>V7.2</t>
        </is>
      </c>
      <c r="B10" s="50" t="inlineStr">
        <is>
          <t>Fundamental Session Management Security</t>
        </is>
      </c>
      <c r="C10" s="51" t="inlineStr">
        <is>
          <t>V7.2.4</t>
        </is>
      </c>
      <c r="D10" s="52" t="inlineStr">
        <is>
          <t>Verify that the application generates a new session token on user authentication, including re-authentication, and terminates the current session token.</t>
        </is>
      </c>
      <c r="E10" s="53" t="n">
        <v>1</v>
      </c>
      <c r="F10" s="49" t="inlineStr">
        <is>
          <t>Compliant</t>
        </is>
      </c>
      <c r="G10" s="52" t="inlineStr">
        <is>
          <t>Explicitly covered by Deliveries documentation with direct ASVS traceability (design-phase evidence). Residual risk: Implementation verification is still pending for Phase 2 execution.</t>
        </is>
      </c>
      <c r="H10" s="52" t="inlineStr">
        <is>
          <t>backend/src/main/java/com/desofs/project/config/SecurityConfig.java; backend/src/main/java/com/desofs/project/config/JwtService.java; backend/src/main/java/com/desofs/project/user/services/TokenRevocationService.java; backend/src/main/java/com/desofs/project/user/controller/AuthController.java; backend/src/main/resources/application.yml</t>
        </is>
      </c>
    </row>
    <row r="11" ht="18" customHeight="1" s="28">
      <c r="A11" s="44" t="inlineStr">
        <is>
          <t>V7.3</t>
        </is>
      </c>
      <c r="B11" s="44" t="inlineStr">
        <is>
          <t>Session Timeout</t>
        </is>
      </c>
      <c r="C11" s="44" t="n"/>
      <c r="D11" s="44" t="n"/>
      <c r="E11" s="44" t="n"/>
      <c r="F11" s="44" t="n"/>
      <c r="G11" s="44" t="n"/>
      <c r="H11" s="44" t="n"/>
    </row>
    <row r="12" ht="30" customHeight="1" s="28">
      <c r="A12" s="45" t="inlineStr">
        <is>
          <t>V7.3</t>
        </is>
      </c>
      <c r="B12" s="45" t="inlineStr">
        <is>
          <t>Session Timeout</t>
        </is>
      </c>
      <c r="C12" s="46" t="inlineStr">
        <is>
          <t>V7.3.1</t>
        </is>
      </c>
      <c r="D12" s="47" t="inlineStr">
        <is>
          <t>Verify that there is an inactivity timeout such that re-authentication is enforced according to risk analysis and documented security decisions.</t>
        </is>
      </c>
      <c r="E12" s="48" t="n">
        <v>2</v>
      </c>
      <c r="F12" s="49" t="inlineStr">
        <is>
          <t>Compliant</t>
        </is>
      </c>
      <c r="G12" s="47" t="inlineStr">
        <is>
          <t>Explicitly covered by Deliveries documentation with direct ASVS traceability (design-phase evidence). Residual risk: Implementation verification is still pending for Phase 2 execution.</t>
        </is>
      </c>
      <c r="H12" s="47" t="inlineStr">
        <is>
          <t>backend/src/main/java/com/desofs/project/config/SecurityConfig.java; backend/src/main/java/com/desofs/project/config/JwtService.java; backend/src/main/java/com/desofs/project/user/services/TokenRevocationService.java; backend/src/main/java/com/desofs/project/user/controller/AuthController.java; backend/src/main/resources/application.yml</t>
        </is>
      </c>
    </row>
    <row r="13" ht="30" customHeight="1" s="28">
      <c r="A13" s="50" t="inlineStr">
        <is>
          <t>V7.3</t>
        </is>
      </c>
      <c r="B13" s="50" t="inlineStr">
        <is>
          <t>Session Timeout</t>
        </is>
      </c>
      <c r="C13" s="51" t="inlineStr">
        <is>
          <t>V7.3.2</t>
        </is>
      </c>
      <c r="D13" s="52" t="inlineStr">
        <is>
          <t>Verify that there is an absolute maximum session lifetime such that re-authentication is enforced according to risk analysis and documented security decisions.</t>
        </is>
      </c>
      <c r="E13" s="48" t="n">
        <v>2</v>
      </c>
      <c r="F13" s="49" t="inlineStr">
        <is>
          <t>Compliant</t>
        </is>
      </c>
      <c r="G13" s="52" t="inlineStr">
        <is>
          <t>Explicitly covered by Deliveries documentation with direct ASVS traceability (design-phase evidence). Residual risk: Implementation verification is still pending for Phase 2 execution.</t>
        </is>
      </c>
      <c r="H13" s="52" t="inlineStr">
        <is>
          <t>backend/src/main/java/com/desofs/project/config/SecurityConfig.java; backend/src/main/java/com/desofs/project/config/JwtService.java; backend/src/main/java/com/desofs/project/user/services/TokenRevocationService.java; backend/src/main/java/com/desofs/project/user/controller/AuthController.java; backend/src/main/resources/application.yml</t>
        </is>
      </c>
    </row>
    <row r="14" ht="18" customHeight="1" s="28">
      <c r="A14" s="44" t="inlineStr">
        <is>
          <t>V7.4</t>
        </is>
      </c>
      <c r="B14" s="44" t="inlineStr">
        <is>
          <t>Session Termination</t>
        </is>
      </c>
      <c r="C14" s="44" t="n"/>
      <c r="D14" s="44" t="n"/>
      <c r="E14" s="44" t="n"/>
      <c r="F14" s="44" t="n"/>
      <c r="G14" s="44" t="n"/>
      <c r="H14" s="44" t="n"/>
    </row>
    <row r="15" ht="30" customHeight="1" s="28">
      <c r="A15" s="45" t="inlineStr">
        <is>
          <t>V7.4</t>
        </is>
      </c>
      <c r="B15" s="45" t="inlineStr">
        <is>
          <t>Session Termination</t>
        </is>
      </c>
      <c r="C15" s="46" t="inlineStr">
        <is>
          <t>V7.4.1</t>
        </is>
      </c>
      <c r="D15" s="47" t="inlineStr">
        <is>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is>
      </c>
      <c r="E15" s="53" t="n">
        <v>1</v>
      </c>
      <c r="F15" s="49" t="inlineStr">
        <is>
          <t>Compliant</t>
        </is>
      </c>
      <c r="G15" s="47" t="inlineStr">
        <is>
          <t>Explicitly covered by Deliveries documentation with direct ASVS traceability (design-phase evidence). Residual risk: Implementation verification is still pending for Phase 2 execution.</t>
        </is>
      </c>
      <c r="H15" s="47" t="inlineStr">
        <is>
          <t>Deliveries/Phase1/traceability-matrix.md (Section 3, traceability matrix, TM-020)</t>
        </is>
      </c>
    </row>
    <row r="16" ht="30" customHeight="1" s="28">
      <c r="A16" s="50" t="inlineStr">
        <is>
          <t>V7.4</t>
        </is>
      </c>
      <c r="B16" s="50" t="inlineStr">
        <is>
          <t>Session Termination</t>
        </is>
      </c>
      <c r="C16" s="51" t="inlineStr">
        <is>
          <t>V7.4.2</t>
        </is>
      </c>
      <c r="D16" s="52" t="inlineStr">
        <is>
          <t>Verify that the application terminates all active sessions when a user account is disabled or deleted (such as an employee leaving the company).</t>
        </is>
      </c>
      <c r="E16" s="53" t="n">
        <v>1</v>
      </c>
      <c r="F16" s="49" t="inlineStr">
        <is>
          <t>Compliant</t>
        </is>
      </c>
      <c r="G16" s="52" t="inlineStr">
        <is>
          <t>Explicitly covered by Deliveries documentation with direct ASVS traceability (design-phase evidence). Residual risk: Implementation verification is still pending for Phase 2 execution.</t>
        </is>
      </c>
      <c r="H16" s="52" t="inlineStr">
        <is>
          <t>backend/src/main/java/com/desofs/project/config/SecurityConfig.java; backend/src/main/java/com/desofs/project/config/JwtService.java; backend/src/main/java/com/desofs/project/user/services/TokenRevocationService.java; backend/src/main/java/com/desofs/project/user/controller/AuthController.java; backend/src/main/resources/application.yml</t>
        </is>
      </c>
    </row>
    <row r="17" ht="30" customHeight="1" s="28">
      <c r="A17" s="45" t="inlineStr">
        <is>
          <t>V7.4</t>
        </is>
      </c>
      <c r="B17" s="45" t="inlineStr">
        <is>
          <t>Session Termination</t>
        </is>
      </c>
      <c r="C17" s="46" t="inlineStr">
        <is>
          <t>V7.4.3</t>
        </is>
      </c>
      <c r="D17" s="47" t="inlineStr">
        <is>
          <t>Verify that the application gives the option to terminate all other active sessions after a successful change or removal of any authentication factor (including password change via reset or recovery and, if present, an MFA settings update).</t>
        </is>
      </c>
      <c r="E17" s="48" t="n">
        <v>2</v>
      </c>
      <c r="F17" s="49" t="inlineStr">
        <is>
          <t>Compliant</t>
        </is>
      </c>
      <c r="G17" s="47" t="inlineStr">
        <is>
          <t>Explicitly covered by Deliveries documentation with direct ASVS traceability (design-phase evidence). Residual risk: Implementation verification is still pending for Phase 2 execution.</t>
        </is>
      </c>
      <c r="H17" s="47" t="inlineStr">
        <is>
          <t>backend/src/main/java/com/desofs/project/config/SecurityConfig.java; backend/src/main/java/com/desofs/project/config/JwtService.java; backend/src/main/java/com/desofs/project/user/services/TokenRevocationService.java; backend/src/main/java/com/desofs/project/user/controller/AuthController.java; backend/src/main/resources/application.yml</t>
        </is>
      </c>
    </row>
    <row r="18" ht="30" customHeight="1" s="28">
      <c r="A18" s="50" t="inlineStr">
        <is>
          <t>V7.4</t>
        </is>
      </c>
      <c r="B18" s="50" t="inlineStr">
        <is>
          <t>Session Termination</t>
        </is>
      </c>
      <c r="C18" s="51" t="inlineStr">
        <is>
          <t>V7.4.4</t>
        </is>
      </c>
      <c r="D18" s="52" t="inlineStr">
        <is>
          <t>Verify that all pages that require authentication have easy and visible access to logout functionality.</t>
        </is>
      </c>
      <c r="E18" s="48" t="n">
        <v>2</v>
      </c>
      <c r="F18" s="49" t="inlineStr">
        <is>
          <t>Compliant</t>
        </is>
      </c>
      <c r="G18" s="52" t="inlineStr">
        <is>
          <t>Explicitly covered by Deliveries documentation with direct ASVS traceability (design-phase evidence). Residual risk: Implementation verification is still pending for Phase 2 execution.</t>
        </is>
      </c>
      <c r="H18" s="52" t="inlineStr">
        <is>
          <t>backend/src/main/java/com/desofs/project/config/SecurityConfig.java; backend/src/main/java/com/desofs/project/config/JwtService.java; backend/src/main/java/com/desofs/project/user/services/TokenRevocationService.java; backend/src/main/java/com/desofs/project/user/controller/AuthController.java; backend/src/main/resources/application.yml</t>
        </is>
      </c>
    </row>
    <row r="19" ht="30" customHeight="1" s="28">
      <c r="A19" s="45" t="inlineStr">
        <is>
          <t>V7.4</t>
        </is>
      </c>
      <c r="B19" s="45" t="inlineStr">
        <is>
          <t>Session Termination</t>
        </is>
      </c>
      <c r="C19" s="46" t="inlineStr">
        <is>
          <t>V7.4.5</t>
        </is>
      </c>
      <c r="D19" s="47" t="inlineStr">
        <is>
          <t>Verify that application administrators are able to terminate active sessions for an individual user or for all users.</t>
        </is>
      </c>
      <c r="E19" s="48" t="n">
        <v>2</v>
      </c>
      <c r="F19" s="49" t="inlineStr">
        <is>
          <t>Compliant</t>
        </is>
      </c>
      <c r="G19" s="47" t="inlineStr">
        <is>
          <t>Explicitly covered by Deliveries documentation with direct ASVS traceability (design-phase evidence). Residual risk: Implementation verification is still pending for Phase 2 execution.</t>
        </is>
      </c>
      <c r="H19" s="47" t="inlineStr">
        <is>
          <t>backend/src/main/java/com/desofs/project/config/SecurityConfig.java; backend/src/main/java/com/desofs/project/config/JwtService.java; backend/src/main/java/com/desofs/project/user/services/TokenRevocationService.java; backend/src/main/java/com/desofs/project/user/controller/AuthController.java; backend/src/main/resources/application.yml</t>
        </is>
      </c>
    </row>
    <row r="20" ht="18" customHeight="1" s="28">
      <c r="A20" s="44" t="inlineStr">
        <is>
          <t>V7.5</t>
        </is>
      </c>
      <c r="B20" s="44" t="inlineStr">
        <is>
          <t>Defenses Against Session Abuse</t>
        </is>
      </c>
      <c r="C20" s="44" t="n"/>
      <c r="D20" s="44" t="n"/>
      <c r="E20" s="44" t="n"/>
      <c r="F20" s="44" t="n"/>
      <c r="G20" s="44" t="n"/>
      <c r="H20" s="44" t="n"/>
    </row>
    <row r="21" ht="30" customHeight="1" s="28">
      <c r="A21" s="45" t="inlineStr">
        <is>
          <t>V7.5</t>
        </is>
      </c>
      <c r="B21" s="45" t="inlineStr">
        <is>
          <t>Defenses Against Session Abuse</t>
        </is>
      </c>
      <c r="C21" s="46" t="inlineStr">
        <is>
          <t>V7.5.1</t>
        </is>
      </c>
      <c r="D21" s="47" t="inlineStr">
        <is>
          <t>Verify that the application requires full re-authentication before allowing modifications to sensitive account attributes which may affect authentication such as email address, phone number, MFA configuration, or other information used in account recovery.</t>
        </is>
      </c>
      <c r="E21" s="48" t="n">
        <v>2</v>
      </c>
      <c r="F21" s="49" t="inlineStr">
        <is>
          <t>Compliant</t>
        </is>
      </c>
      <c r="G21" s="47" t="inlineStr">
        <is>
          <t>Explicitly covered by Deliveries documentation with direct ASVS traceability (design-phase evidence). Residual risk: Implementation verification is still pending for Phase 2 execution.</t>
        </is>
      </c>
      <c r="H21" s="47" t="inlineStr">
        <is>
          <t>backend/src/main/java/com/desofs/project/config/SecurityConfig.java; backend/src/main/java/com/desofs/project/config/JwtService.java; backend/src/main/java/com/desofs/project/user/services/TokenRevocationService.java; backend/src/main/java/com/desofs/project/user/controller/AuthController.java; backend/src/main/resources/application.yml</t>
        </is>
      </c>
    </row>
    <row r="22" ht="30" customHeight="1" s="28">
      <c r="A22" s="50" t="inlineStr">
        <is>
          <t>V7.5</t>
        </is>
      </c>
      <c r="B22" s="50" t="inlineStr">
        <is>
          <t>Defenses Against Session Abuse</t>
        </is>
      </c>
      <c r="C22" s="51" t="inlineStr">
        <is>
          <t>V7.5.2</t>
        </is>
      </c>
      <c r="D22" s="52" t="inlineStr">
        <is>
          <t>Verify that users are able to view and (having authenticated again with at least one factor) terminate any or all currently active sessions.</t>
        </is>
      </c>
      <c r="E22" s="48" t="n">
        <v>2</v>
      </c>
      <c r="F22" s="49" t="inlineStr">
        <is>
          <t>Compliant</t>
        </is>
      </c>
      <c r="G22" s="52" t="inlineStr">
        <is>
          <t>Explicitly covered by Deliveries documentation with direct ASVS traceability (design-phase evidence). Residual risk: Implementation verification is still pending for Phase 2 execution.</t>
        </is>
      </c>
      <c r="H22" s="52" t="inlineStr">
        <is>
          <t>backend/src/main/java/com/desofs/project/config/SecurityConfig.java; backend/src/main/java/com/desofs/project/config/JwtService.java; backend/src/main/java/com/desofs/project/user/services/TokenRevocationService.java; backend/src/main/java/com/desofs/project/user/controller/AuthController.java; backend/src/main/resources/application.yml</t>
        </is>
      </c>
    </row>
    <row r="23" ht="30" customHeight="1" s="28">
      <c r="A23" s="45" t="inlineStr">
        <is>
          <t>V7.5</t>
        </is>
      </c>
      <c r="B23" s="45" t="inlineStr">
        <is>
          <t>Defenses Against Session Abuse</t>
        </is>
      </c>
      <c r="C23" s="46" t="inlineStr">
        <is>
          <t>V7.5.3</t>
        </is>
      </c>
      <c r="D23" s="47" t="inlineStr">
        <is>
          <t>Verify that the application requires further authentication with at least one factor or secondary verification before performing highly sensitive transactions or operations.</t>
        </is>
      </c>
      <c r="E23" s="54" t="n">
        <v>3</v>
      </c>
      <c r="F23" s="49" t="inlineStr">
        <is>
          <t>Compliant</t>
        </is>
      </c>
      <c r="G23" s="47" t="inlineStr">
        <is>
          <t>Explicitly covered by Deliveries documentation with direct ASVS traceability (design-phase evidence). Residual risk: Implementation verification is still pending for Phase 2 execution.</t>
        </is>
      </c>
      <c r="H23" s="47" t="inlineStr">
        <is>
          <t>backend/src/main/java/com/desofs/project/config/SecurityConfig.java; backend/src/main/java/com/desofs/project/config/JwtService.java; backend/src/main/java/com/desofs/project/user/services/TokenRevocationService.java; backend/src/main/java/com/desofs/project/user/controller/AuthController.java; backend/src/main/resources/application.yml</t>
        </is>
      </c>
    </row>
    <row r="24" ht="18" customHeight="1" s="28">
      <c r="A24" s="44" t="inlineStr">
        <is>
          <t>V7.6</t>
        </is>
      </c>
      <c r="B24" s="44" t="inlineStr">
        <is>
          <t>Federated Re-authentication</t>
        </is>
      </c>
      <c r="C24" s="44" t="n"/>
      <c r="D24" s="44" t="n"/>
      <c r="E24" s="44" t="n"/>
      <c r="F24" s="44" t="n"/>
      <c r="G24" s="44" t="n"/>
      <c r="H24" s="44" t="n"/>
    </row>
    <row r="25" ht="30" customHeight="1" s="28">
      <c r="A25" s="45" t="inlineStr">
        <is>
          <t>V7.6</t>
        </is>
      </c>
      <c r="B25" s="45" t="inlineStr">
        <is>
          <t>Federated Re-authentication</t>
        </is>
      </c>
      <c r="C25" s="46" t="inlineStr">
        <is>
          <t>V7.6.1</t>
        </is>
      </c>
      <c r="D25" s="47" t="inlineStr">
        <is>
          <t>Verify that session lifetime and termination between Relying Parties (RPs) and Identity Providers (IdPs) behave as documented, requiring re-authentication as necessary such as when the maximum time between IdP authentication events is reached.</t>
        </is>
      </c>
      <c r="E25" s="48" t="n">
        <v>2</v>
      </c>
      <c r="F25" s="49" t="inlineStr">
        <is>
          <t>Compliant</t>
        </is>
      </c>
      <c r="G25" s="47" t="inlineStr">
        <is>
          <t>Explicitly covered by Deliveries documentation with direct ASVS traceability (design-phase evidence). Residual risk: Implementation verification is still pending for Phase 2 execution.</t>
        </is>
      </c>
      <c r="H25" s="47" t="inlineStr">
        <is>
          <t>backend/src/main/java/com/desofs/project/config/SecurityConfig.java; backend/src/main/java/com/desofs/project/config/JwtService.java; backend/src/main/java/com/desofs/project/user/services/TokenRevocationService.java; backend/src/main/java/com/desofs/project/user/controller/AuthController.java; backend/src/main/resources/application.yml</t>
        </is>
      </c>
    </row>
    <row r="26" ht="30" customHeight="1" s="28">
      <c r="A26" s="50" t="inlineStr">
        <is>
          <t>V7.6</t>
        </is>
      </c>
      <c r="B26" s="50" t="inlineStr">
        <is>
          <t>Federated Re-authentication</t>
        </is>
      </c>
      <c r="C26" s="51" t="inlineStr">
        <is>
          <t>V7.6.2</t>
        </is>
      </c>
      <c r="D26" s="52" t="inlineStr">
        <is>
          <t>Verify that creation of a session requires either the user's consent or an explicit action, preventing the creation of new application sessions without user interaction.</t>
        </is>
      </c>
      <c r="E26" s="48" t="n">
        <v>2</v>
      </c>
      <c r="F26" s="49" t="inlineStr">
        <is>
          <t>Compliant</t>
        </is>
      </c>
      <c r="G26" s="52" t="inlineStr">
        <is>
          <t>Explicitly covered by Deliveries documentation with direct ASVS traceability (design-phase evidence). Residual risk: Implementation verification is still pending for Phase 2 execution.</t>
        </is>
      </c>
      <c r="H26" s="52" t="inlineStr">
        <is>
          <t>backend/src/main/java/com/desofs/project/config/SecurityConfig.java; backend/src/main/java/com/desofs/project/config/JwtService.java; backend/src/main/java/com/desofs/project/user/services/TokenRevocationService.java; backend/src/main/java/com/desofs/project/user/controller/AuthController.java; backend/src/main/resources/application.yml</t>
        </is>
      </c>
    </row>
  </sheetData>
  <conditionalFormatting sqref="F2:F26">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26"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AC18"/>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V8.1</t>
        </is>
      </c>
      <c r="B2" s="44" t="inlineStr">
        <is>
          <t>Authorization Documentation</t>
        </is>
      </c>
      <c r="C2" s="44" t="n"/>
      <c r="D2" s="44" t="n"/>
      <c r="E2" s="44" t="n"/>
      <c r="F2" s="44" t="n"/>
      <c r="G2" s="44" t="n"/>
      <c r="H2" s="44" t="n"/>
    </row>
    <row r="3" ht="30" customHeight="1" s="28">
      <c r="A3" s="45" t="inlineStr">
        <is>
          <t>V8.1</t>
        </is>
      </c>
      <c r="B3" s="45" t="inlineStr">
        <is>
          <t>Authorization Documentation</t>
        </is>
      </c>
      <c r="C3" s="46" t="inlineStr">
        <is>
          <t>V8.1.1</t>
        </is>
      </c>
      <c r="D3" s="47" t="inlineStr">
        <is>
          <t>Verify that authorization documentation defines rules for restricting function-level and data-specific access based on consumer permissions and resource attributes.</t>
        </is>
      </c>
      <c r="E3" s="53" t="n">
        <v>1</v>
      </c>
      <c r="F3" s="49" t="inlineStr">
        <is>
          <t>Compliant</t>
        </is>
      </c>
      <c r="G3" s="47" t="inlineStr">
        <is>
          <t>Explicitly covered by Deliveries documentation with direct ASVS traceability (design-phase evidence). Residual risk: Implementation verification is still pending for Phase 2 execution.</t>
        </is>
      </c>
      <c r="H3" s="47" t="inlineStr">
        <is>
          <t>backend/src/main/java/com/desofs/project/config/SecurityConfig.java; backend/src/main/java/com/desofs/project/user/model/Role.java; backend/src/main/java/com/desofs/project/department/services/DepartmentService.java; backend/src/main/java/com/desofs/project/document/services/DocumentService.java</t>
        </is>
      </c>
    </row>
    <row r="4" ht="30" customHeight="1" s="28">
      <c r="A4" s="50" t="inlineStr">
        <is>
          <t>V8.1</t>
        </is>
      </c>
      <c r="B4" s="50" t="inlineStr">
        <is>
          <t>Authorization Documentation</t>
        </is>
      </c>
      <c r="C4" s="51" t="inlineStr">
        <is>
          <t>V8.1.2</t>
        </is>
      </c>
      <c r="D4" s="52" t="inlineStr">
        <is>
          <t>Verify that authorization documentation defines rules for field-level access restrictions (both read and write) based on consumer permissions and resource attributes. Note that these rules might depend on other attribute values of the relevant data object, such as state or status.</t>
        </is>
      </c>
      <c r="E4" s="48" t="n">
        <v>2</v>
      </c>
      <c r="F4" s="49" t="inlineStr">
        <is>
          <t>Compliant</t>
        </is>
      </c>
      <c r="G4" s="52" t="inlineStr">
        <is>
          <t>Explicitly covered by Deliveries documentation with direct ASVS traceability (design-phase evidence). Residual risk: Implementation verification is still pending for Phase 2 execution.</t>
        </is>
      </c>
      <c r="H4" s="52" t="inlineStr">
        <is>
          <t>backend/src/main/java/com/desofs/project/config/SecurityConfig.java; backend/src/main/java/com/desofs/project/user/model/Role.java; backend/src/main/java/com/desofs/project/department/services/DepartmentService.java; backend/src/main/java/com/desofs/project/document/services/DocumentService.java</t>
        </is>
      </c>
    </row>
    <row r="5" ht="30" customHeight="1" s="28">
      <c r="A5" s="45" t="inlineStr">
        <is>
          <t>V8.1</t>
        </is>
      </c>
      <c r="B5" s="45" t="inlineStr">
        <is>
          <t>Authorization Documentation</t>
        </is>
      </c>
      <c r="C5" s="46" t="inlineStr">
        <is>
          <t>V8.1.3</t>
        </is>
      </c>
      <c r="D5" s="47" t="inlineStr">
        <is>
          <t>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is>
      </c>
      <c r="E5" s="54" t="n">
        <v>3</v>
      </c>
      <c r="F5" s="49" t="inlineStr">
        <is>
          <t>Compliant</t>
        </is>
      </c>
      <c r="G5" s="47" t="inlineStr">
        <is>
          <t>Explicitly covered by Deliveries documentation with direct ASVS traceability (design-phase evidence). Residual risk: Implementation verification is still pending for Phase 2 execution.</t>
        </is>
      </c>
      <c r="H5" s="47" t="inlineStr">
        <is>
          <t>backend/src/main/java/com/desofs/project/config/SecurityConfig.java; backend/src/main/java/com/desofs/project/user/model/Role.java; backend/src/main/java/com/desofs/project/department/services/DepartmentService.java; backend/src/main/java/com/desofs/project/document/services/DocumentService.java</t>
        </is>
      </c>
    </row>
    <row r="6" ht="30" customHeight="1" s="28">
      <c r="A6" s="50" t="inlineStr">
        <is>
          <t>V8.1</t>
        </is>
      </c>
      <c r="B6" s="50" t="inlineStr">
        <is>
          <t>Authorization Documentation</t>
        </is>
      </c>
      <c r="C6" s="51" t="inlineStr">
        <is>
          <t>V8.1.4</t>
        </is>
      </c>
      <c r="D6" s="52" t="inlineStr">
        <is>
          <t>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is>
      </c>
      <c r="E6" s="54" t="n">
        <v>3</v>
      </c>
      <c r="F6" s="49" t="inlineStr">
        <is>
          <t>Compliant</t>
        </is>
      </c>
      <c r="G6" s="52" t="inlineStr">
        <is>
          <t>Explicitly covered by Deliveries documentation with direct ASVS traceability (design-phase evidence). Residual risk: Implementation verification is still pending for Phase 2 execution.</t>
        </is>
      </c>
      <c r="H6" s="52" t="inlineStr">
        <is>
          <t>backend/src/main/java/com/desofs/project/config/SecurityConfig.java; backend/src/main/java/com/desofs/project/user/model/Role.java; backend/src/main/java/com/desofs/project/department/services/DepartmentService.java; backend/src/main/java/com/desofs/project/document/services/DocumentService.java</t>
        </is>
      </c>
    </row>
    <row r="7" ht="18" customHeight="1" s="28">
      <c r="A7" s="44" t="inlineStr">
        <is>
          <t>V8.2</t>
        </is>
      </c>
      <c r="B7" s="44" t="inlineStr">
        <is>
          <t>General Authorization Design</t>
        </is>
      </c>
      <c r="C7" s="44" t="n"/>
      <c r="D7" s="44" t="n"/>
      <c r="E7" s="44" t="n"/>
      <c r="F7" s="44" t="n"/>
      <c r="G7" s="44" t="n"/>
      <c r="H7" s="44" t="n"/>
    </row>
    <row r="8" ht="30" customHeight="1" s="28">
      <c r="A8" s="45" t="inlineStr">
        <is>
          <t>V8.2</t>
        </is>
      </c>
      <c r="B8" s="45" t="inlineStr">
        <is>
          <t>General Authorization Design</t>
        </is>
      </c>
      <c r="C8" s="46" t="inlineStr">
        <is>
          <t>V8.2.1</t>
        </is>
      </c>
      <c r="D8" s="47" t="inlineStr">
        <is>
          <t>Verify that the application ensures that function-level access is restricted to consumers with explicit permissions.</t>
        </is>
      </c>
      <c r="E8" s="53" t="n">
        <v>1</v>
      </c>
      <c r="F8" s="49" t="inlineStr">
        <is>
          <t>Compliant</t>
        </is>
      </c>
      <c r="G8" s="47" t="inlineStr">
        <is>
          <t>Explicitly covered by Deliveries documentation with direct ASVS traceability (design-phase evidence). Residual risk: Implementation verification is still pending for Phase 2 execution.</t>
        </is>
      </c>
      <c r="H8" s="47" t="inlineStr">
        <is>
          <t>Deliveries/Phase1/traceability-matrix.md (Section 3, traceability matrix, TM-005); Deliveries/Phase1/traceability-matrix.md (Section 3, traceability matrix, TM-006); Deliveries/Phase1/traceability-matrix.md (Section 3, traceability matrix, TM-009)</t>
        </is>
      </c>
    </row>
    <row r="9" ht="30" customHeight="1" s="28">
      <c r="A9" s="50" t="inlineStr">
        <is>
          <t>V8.2</t>
        </is>
      </c>
      <c r="B9" s="50" t="inlineStr">
        <is>
          <t>General Authorization Design</t>
        </is>
      </c>
      <c r="C9" s="51" t="inlineStr">
        <is>
          <t>V8.2.2</t>
        </is>
      </c>
      <c r="D9" s="52" t="inlineStr">
        <is>
          <t>Verify that the application ensures that data-specific access is restricted to consumers with explicit permissions to specific data items to mitigate insecure direct object reference (IDOR) and broken object level authorization (BOLA).</t>
        </is>
      </c>
      <c r="E9" s="53" t="n">
        <v>1</v>
      </c>
      <c r="F9" s="49" t="inlineStr">
        <is>
          <t>Compliant</t>
        </is>
      </c>
      <c r="G9" s="52" t="inlineStr">
        <is>
          <t>Explicitly covered by Deliveries documentation with direct ASVS traceability (design-phase evidence). Residual risk: Implementation verification is still pending for Phase 2 execution.</t>
        </is>
      </c>
      <c r="H9" s="52" t="inlineStr">
        <is>
          <t>Deliveries/Phase1/traceability-matrix.md (Section 3, traceability matrix, TM-003); Deliveries/Phase1/traceability-matrix.md (Section 3, traceability matrix, TM-004); Deliveries/Phase1/traceability-matrix.md (Section 3, traceability matrix, TM-006)</t>
        </is>
      </c>
    </row>
    <row r="10" ht="30" customHeight="1" s="28">
      <c r="A10" s="45" t="inlineStr">
        <is>
          <t>V8.2</t>
        </is>
      </c>
      <c r="B10" s="45" t="inlineStr">
        <is>
          <t>General Authorization Design</t>
        </is>
      </c>
      <c r="C10" s="46" t="inlineStr">
        <is>
          <t>V8.2.3</t>
        </is>
      </c>
      <c r="D10" s="47" t="inlineStr">
        <is>
          <t>Verify that the application ensures that field-level access is restricted to consumers with explicit permissions to specific fields to mitigate broken object property level authorization (BOPLA).</t>
        </is>
      </c>
      <c r="E10" s="48" t="n">
        <v>2</v>
      </c>
      <c r="F10" s="49" t="inlineStr">
        <is>
          <t>Compliant</t>
        </is>
      </c>
      <c r="G10" s="47" t="inlineStr">
        <is>
          <t>Explicitly covered by Deliveries documentation with direct ASVS traceability (design-phase evidence). Residual risk: Implementation verification is still pending for Phase 2 execution.</t>
        </is>
      </c>
      <c r="H10" s="47" t="inlineStr">
        <is>
          <t>Deliveries/Phase1/traceability-matrix.md (Section 3, traceability matrix, TM-004); Deliveries/Phase1/traceability-matrix.md (Section 3, traceability matrix, TM-028)</t>
        </is>
      </c>
    </row>
    <row r="11" ht="30" customHeight="1" s="28">
      <c r="A11" s="50" t="inlineStr">
        <is>
          <t>V8.2</t>
        </is>
      </c>
      <c r="B11" s="50" t="inlineStr">
        <is>
          <t>General Authorization Design</t>
        </is>
      </c>
      <c r="C11" s="51" t="inlineStr">
        <is>
          <t>V8.2.4</t>
        </is>
      </c>
      <c r="D11" s="52" t="inlineStr">
        <is>
          <t>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is>
      </c>
      <c r="E11" s="54" t="n">
        <v>3</v>
      </c>
      <c r="F11" s="49" t="inlineStr">
        <is>
          <t>Compliant</t>
        </is>
      </c>
      <c r="G11" s="52" t="inlineStr">
        <is>
          <t>Explicitly covered by Deliveries documentation with direct ASVS traceability (design-phase evidence). Residual risk: Implementation verification is still pending for Phase 2 execution.</t>
        </is>
      </c>
      <c r="H11" s="52" t="inlineStr">
        <is>
          <t>backend/src/main/java/com/desofs/project/config/SecurityConfig.java; backend/src/main/java/com/desofs/project/user/model/Role.java; backend/src/main/java/com/desofs/project/department/services/DepartmentService.java; backend/src/main/java/com/desofs/project/document/services/DocumentService.java</t>
        </is>
      </c>
    </row>
    <row r="12" ht="18" customHeight="1" s="28">
      <c r="A12" s="44" t="inlineStr">
        <is>
          <t>V8.3</t>
        </is>
      </c>
      <c r="B12" s="44" t="inlineStr">
        <is>
          <t>Operation Level Authorization</t>
        </is>
      </c>
      <c r="C12" s="44" t="n"/>
      <c r="D12" s="44" t="n"/>
      <c r="E12" s="44" t="n"/>
      <c r="F12" s="44" t="n"/>
      <c r="G12" s="44" t="n"/>
      <c r="H12" s="44" t="n"/>
    </row>
    <row r="13" ht="30" customHeight="1" s="28">
      <c r="A13" s="45" t="inlineStr">
        <is>
          <t>V8.3</t>
        </is>
      </c>
      <c r="B13" s="45" t="inlineStr">
        <is>
          <t>Operation Level Authorization</t>
        </is>
      </c>
      <c r="C13" s="46" t="inlineStr">
        <is>
          <t>V8.3.1</t>
        </is>
      </c>
      <c r="D13" s="47" t="inlineStr">
        <is>
          <t>Verify that the application enforces authorization rules at a trusted service layer and doesn't rely on controls that an untrusted consumer could manipulate, such as client-side JavaScript.</t>
        </is>
      </c>
      <c r="E13" s="53" t="n">
        <v>1</v>
      </c>
      <c r="F13" s="49" t="inlineStr">
        <is>
          <t>Compliant</t>
        </is>
      </c>
      <c r="G13" s="47" t="inlineStr">
        <is>
          <t>Explicitly covered by Deliveries documentation with direct ASVS traceability (design-phase evidence). Residual risk: Implementation verification is still pending for Phase 2 execution.</t>
        </is>
      </c>
      <c r="H13" s="47" t="inlineStr">
        <is>
          <t>Deliveries/Phase1/traceability-matrix.md (Section 3, traceability matrix, TM-003); Deliveries/Phase1/traceability-matrix.md (Section 3, traceability matrix, TM-008); Deliveries/Phase1/traceability-matrix.md (Section 3, traceability matrix, TM-021)</t>
        </is>
      </c>
    </row>
    <row r="14" ht="30" customHeight="1" s="28">
      <c r="A14" s="50" t="inlineStr">
        <is>
          <t>V8.3</t>
        </is>
      </c>
      <c r="B14" s="50" t="inlineStr">
        <is>
          <t>Operation Level Authorization</t>
        </is>
      </c>
      <c r="C14" s="51" t="inlineStr">
        <is>
          <t>V8.3.2</t>
        </is>
      </c>
      <c r="D14" s="52" t="inlineStr">
        <is>
          <t>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is>
      </c>
      <c r="E14" s="54" t="n">
        <v>3</v>
      </c>
      <c r="F14" s="49" t="inlineStr">
        <is>
          <t>Compliant</t>
        </is>
      </c>
      <c r="G14" s="52" t="inlineStr">
        <is>
          <t>Explicitly covered by Deliveries documentation with direct ASVS traceability (design-phase evidence). Residual risk: Implementation verification is still pending for Phase 2 execution.</t>
        </is>
      </c>
      <c r="H14" s="52" t="inlineStr">
        <is>
          <t>backend/src/main/java/com/desofs/project/config/SecurityConfig.java; backend/src/main/java/com/desofs/project/user/model/Role.java; backend/src/main/java/com/desofs/project/department/services/DepartmentService.java; backend/src/main/java/com/desofs/project/document/services/DocumentService.java</t>
        </is>
      </c>
    </row>
    <row r="15" ht="30" customHeight="1" s="28">
      <c r="A15" s="45" t="inlineStr">
        <is>
          <t>V8.3</t>
        </is>
      </c>
      <c r="B15" s="45" t="inlineStr">
        <is>
          <t>Operation Level Authorization</t>
        </is>
      </c>
      <c r="C15" s="46" t="inlineStr">
        <is>
          <t>V8.3.3</t>
        </is>
      </c>
      <c r="D15" s="47" t="inlineStr">
        <is>
          <t>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is>
      </c>
      <c r="E15" s="54" t="n">
        <v>3</v>
      </c>
      <c r="F15" s="49" t="inlineStr">
        <is>
          <t>Compliant</t>
        </is>
      </c>
      <c r="G15" s="47" t="inlineStr">
        <is>
          <t>Explicitly covered by Deliveries documentation with direct ASVS traceability (design-phase evidence). Residual risk: Implementation verification is still pending for Phase 2 execution.</t>
        </is>
      </c>
      <c r="H15" s="47" t="inlineStr">
        <is>
          <t>Deliveries/Phase1/traceability-matrix.md (Section 3, traceability matrix, TM-029)</t>
        </is>
      </c>
    </row>
    <row r="16" ht="18" customHeight="1" s="28">
      <c r="A16" s="44" t="inlineStr">
        <is>
          <t>V8.4</t>
        </is>
      </c>
      <c r="B16" s="44" t="inlineStr">
        <is>
          <t>Other Authorization Considerations</t>
        </is>
      </c>
      <c r="C16" s="44" t="n"/>
      <c r="D16" s="44" t="n"/>
      <c r="E16" s="44" t="n"/>
      <c r="F16" s="44" t="n"/>
      <c r="G16" s="44" t="n"/>
      <c r="H16" s="44" t="n"/>
    </row>
    <row r="17" ht="30" customHeight="1" s="28">
      <c r="A17" s="45" t="inlineStr">
        <is>
          <t>V8.4</t>
        </is>
      </c>
      <c r="B17" s="45" t="inlineStr">
        <is>
          <t>Other Authorization Considerations</t>
        </is>
      </c>
      <c r="C17" s="46" t="inlineStr">
        <is>
          <t>V8.4.1</t>
        </is>
      </c>
      <c r="D17" s="47" t="inlineStr">
        <is>
          <t>Verify that multi-tenant applications use cross-tenant controls to ensure consumer operations will never affect tenants with which they do not have permissions to interact.</t>
        </is>
      </c>
      <c r="E17" s="48" t="n">
        <v>2</v>
      </c>
      <c r="F17" s="49" t="inlineStr">
        <is>
          <t>Compliant</t>
        </is>
      </c>
      <c r="G17" s="47" t="inlineStr">
        <is>
          <t>Explicitly covered by Deliveries documentation with direct ASVS traceability (design-phase evidence). Residual risk: Implementation verification is still pending for Phase 2 execution.</t>
        </is>
      </c>
      <c r="H17" s="47" t="inlineStr">
        <is>
          <t>backend/src/main/java/com/desofs/project/config/SecurityConfig.java; backend/src/main/java/com/desofs/project/user/model/Role.java; backend/src/main/java/com/desofs/project/department/services/DepartmentService.java; backend/src/main/java/com/desofs/project/document/services/DocumentService.java</t>
        </is>
      </c>
    </row>
    <row r="18" ht="30" customHeight="1" s="28">
      <c r="A18" s="50" t="inlineStr">
        <is>
          <t>V8.4</t>
        </is>
      </c>
      <c r="B18" s="50" t="inlineStr">
        <is>
          <t>Other Authorization Considerations</t>
        </is>
      </c>
      <c r="C18" s="51" t="inlineStr">
        <is>
          <t>V8.4.2</t>
        </is>
      </c>
      <c r="D18" s="52" t="inlineStr">
        <is>
          <t>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is>
      </c>
      <c r="E18" s="54" t="n">
        <v>3</v>
      </c>
      <c r="F18" s="49" t="inlineStr">
        <is>
          <t>Compliant</t>
        </is>
      </c>
      <c r="G18" s="52" t="inlineStr">
        <is>
          <t>Explicitly covered by Deliveries documentation with direct ASVS traceability (design-phase evidence). Residual risk: Implementation verification is still pending for Phase 2 execution.</t>
        </is>
      </c>
      <c r="H18" s="52" t="inlineStr">
        <is>
          <t>Deliveries/Phase1/traceability-matrix.md (Section 3, traceability matrix, TM-005)</t>
        </is>
      </c>
    </row>
  </sheetData>
  <conditionalFormatting sqref="F2:F18">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18"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AC10"/>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V9.1</t>
        </is>
      </c>
      <c r="B2" s="44" t="inlineStr">
        <is>
          <t>Token source and integrity</t>
        </is>
      </c>
      <c r="C2" s="44" t="n"/>
      <c r="D2" s="44" t="n"/>
      <c r="E2" s="44" t="n"/>
      <c r="F2" s="44" t="n"/>
      <c r="G2" s="44" t="n"/>
      <c r="H2" s="44" t="n"/>
    </row>
    <row r="3" ht="30" customHeight="1" s="28">
      <c r="A3" s="45" t="inlineStr">
        <is>
          <t>V9.1</t>
        </is>
      </c>
      <c r="B3" s="45" t="inlineStr">
        <is>
          <t>Token source and integrity</t>
        </is>
      </c>
      <c r="C3" s="46" t="inlineStr">
        <is>
          <t>V9.1.1</t>
        </is>
      </c>
      <c r="D3" s="47" t="inlineStr">
        <is>
          <t>Verify that self-contained tokens are validated using their digital signature or MAC to protect against tampering before accepting the token's contents.</t>
        </is>
      </c>
      <c r="E3" s="53" t="n">
        <v>1</v>
      </c>
      <c r="F3" s="49" t="inlineStr">
        <is>
          <t>Compliant</t>
        </is>
      </c>
      <c r="G3" s="47" t="inlineStr">
        <is>
          <t>Explicitly covered by Deliveries documentation with direct ASVS traceability (design-phase evidence). Residual risk: Implementation verification is still pending for Phase 2 execution.</t>
        </is>
      </c>
      <c r="H3" s="47" t="inlineStr">
        <is>
          <t>Deliveries/Phase1/traceability-matrix.md (Section 3, traceability matrix, TM-002); Deliveries/Phase1/traceability-matrix.md (Section 3, traceability matrix, TM-012)</t>
        </is>
      </c>
    </row>
    <row r="4" ht="30" customHeight="1" s="28">
      <c r="A4" s="50" t="inlineStr">
        <is>
          <t>V9.1</t>
        </is>
      </c>
      <c r="B4" s="50" t="inlineStr">
        <is>
          <t>Token source and integrity</t>
        </is>
      </c>
      <c r="C4" s="51" t="inlineStr">
        <is>
          <t>V9.1.2</t>
        </is>
      </c>
      <c r="D4" s="52" t="inlineStr">
        <is>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is>
      </c>
      <c r="E4" s="53" t="n">
        <v>1</v>
      </c>
      <c r="F4" s="49" t="inlineStr">
        <is>
          <t>Compliant</t>
        </is>
      </c>
      <c r="G4" s="52" t="inlineStr">
        <is>
          <t>Explicitly covered by Deliveries documentation with direct ASVS traceability (design-phase evidence). Residual risk: Implementation verification is still pending for Phase 2 execution.</t>
        </is>
      </c>
      <c r="H4" s="52" t="inlineStr">
        <is>
          <t>backend/src/main/java/com/desofs/project/config/JwtService.java; backend/src/main/java/com/desofs/project/config/JwtAuthenticationFilter.java; backend/src/main/java/com/desofs/project/user/services/TokenRevocationService.java</t>
        </is>
      </c>
    </row>
    <row r="5" ht="30" customHeight="1" s="28">
      <c r="A5" s="45" t="inlineStr">
        <is>
          <t>V9.1</t>
        </is>
      </c>
      <c r="B5" s="45" t="inlineStr">
        <is>
          <t>Token source and integrity</t>
        </is>
      </c>
      <c r="C5" s="46" t="inlineStr">
        <is>
          <t>V9.1.3</t>
        </is>
      </c>
      <c r="D5" s="47" t="inlineStr">
        <is>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is>
      </c>
      <c r="E5" s="53" t="n">
        <v>1</v>
      </c>
      <c r="F5" s="49" t="inlineStr">
        <is>
          <t>Compliant</t>
        </is>
      </c>
      <c r="G5" s="47" t="inlineStr">
        <is>
          <t>Explicitly covered by Deliveries documentation with direct ASVS traceability (design-phase evidence). Residual risk: Implementation verification is still pending for Phase 2 execution.</t>
        </is>
      </c>
      <c r="H5" s="47" t="inlineStr">
        <is>
          <t>backend/src/main/java/com/desofs/project/config/JwtService.java; backend/src/main/java/com/desofs/project/config/JwtAuthenticationFilter.java; backend/src/main/java/com/desofs/project/user/services/TokenRevocationService.java</t>
        </is>
      </c>
    </row>
    <row r="6" ht="18" customHeight="1" s="28">
      <c r="A6" s="44" t="inlineStr">
        <is>
          <t>V9.2</t>
        </is>
      </c>
      <c r="B6" s="44" t="inlineStr">
        <is>
          <t>Token content</t>
        </is>
      </c>
      <c r="C6" s="44" t="n"/>
      <c r="D6" s="44" t="n"/>
      <c r="E6" s="44" t="n"/>
      <c r="F6" s="44" t="n"/>
      <c r="G6" s="44" t="n"/>
      <c r="H6" s="44" t="n"/>
    </row>
    <row r="7" ht="30" customHeight="1" s="28">
      <c r="A7" s="45" t="inlineStr">
        <is>
          <t>V9.2</t>
        </is>
      </c>
      <c r="B7" s="45" t="inlineStr">
        <is>
          <t>Token content</t>
        </is>
      </c>
      <c r="C7" s="46" t="inlineStr">
        <is>
          <t>V9.2.1</t>
        </is>
      </c>
      <c r="D7" s="47" t="inlineStr">
        <is>
          <t>Verify that, if a validity time span is present in the token data, the token and its content are accepted only if the verification time is within this validity time span. For example, for JWTs, the claims 'nbf' and 'exp' must be verified.</t>
        </is>
      </c>
      <c r="E7" s="53" t="n">
        <v>1</v>
      </c>
      <c r="F7" s="49" t="inlineStr">
        <is>
          <t>Compliant</t>
        </is>
      </c>
      <c r="G7" s="47" t="inlineStr">
        <is>
          <t>Explicitly covered by Deliveries documentation with direct ASVS traceability (design-phase evidence). Residual risk: Implementation verification is still pending for Phase 2 execution.</t>
        </is>
      </c>
      <c r="H7" s="47" t="inlineStr">
        <is>
          <t>Deliveries/Phase1/traceability-matrix.md (Section 3, traceability matrix, TM-002); Deliveries/Phase1/traceability-matrix.md (Section 3, traceability matrix, TM-020)</t>
        </is>
      </c>
    </row>
    <row r="8" ht="30" customHeight="1" s="28">
      <c r="A8" s="50" t="inlineStr">
        <is>
          <t>V9.2</t>
        </is>
      </c>
      <c r="B8" s="50" t="inlineStr">
        <is>
          <t>Token content</t>
        </is>
      </c>
      <c r="C8" s="51" t="inlineStr">
        <is>
          <t>V9.2.2</t>
        </is>
      </c>
      <c r="D8" s="52" t="inlineStr">
        <is>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is>
      </c>
      <c r="E8" s="48" t="n">
        <v>2</v>
      </c>
      <c r="F8" s="49" t="inlineStr">
        <is>
          <t>Compliant</t>
        </is>
      </c>
      <c r="G8" s="52" t="inlineStr">
        <is>
          <t>Explicitly covered by Deliveries documentation with direct ASVS traceability (design-phase evidence). Residual risk: Implementation verification is still pending for Phase 2 execution.</t>
        </is>
      </c>
      <c r="H8" s="52" t="inlineStr">
        <is>
          <t>backend/src/main/java/com/desofs/project/config/JwtService.java; backend/src/main/java/com/desofs/project/config/JwtAuthenticationFilter.java; backend/src/main/java/com/desofs/project/user/services/TokenRevocationService.java</t>
        </is>
      </c>
    </row>
    <row r="9" ht="30" customHeight="1" s="28">
      <c r="A9" s="45" t="inlineStr">
        <is>
          <t>V9.2</t>
        </is>
      </c>
      <c r="B9" s="45" t="inlineStr">
        <is>
          <t>Token content</t>
        </is>
      </c>
      <c r="C9" s="46" t="inlineStr">
        <is>
          <t>V9.2.3</t>
        </is>
      </c>
      <c r="D9" s="47" t="inlineStr">
        <is>
          <t>Verify that the service only accepts tokens which are intended for use with that service (audience). For JWTs, this can be achieved by validating the 'aud' claim against an allowlist defined in the service.</t>
        </is>
      </c>
      <c r="E9" s="48" t="n">
        <v>2</v>
      </c>
      <c r="F9" s="49" t="inlineStr">
        <is>
          <t>Compliant</t>
        </is>
      </c>
      <c r="G9" s="47" t="inlineStr">
        <is>
          <t>Explicitly covered by Deliveries documentation with direct ASVS traceability (design-phase evidence). Residual risk: Implementation verification is still pending for Phase 2 execution.</t>
        </is>
      </c>
      <c r="H9" s="47" t="inlineStr">
        <is>
          <t>backend/src/main/java/com/desofs/project/config/JwtService.java; backend/src/main/java/com/desofs/project/config/JwtAuthenticationFilter.java; backend/src/main/java/com/desofs/project/user/services/TokenRevocationService.java</t>
        </is>
      </c>
    </row>
    <row r="10" ht="30" customHeight="1" s="28">
      <c r="A10" s="50" t="inlineStr">
        <is>
          <t>V9.2</t>
        </is>
      </c>
      <c r="B10" s="50" t="inlineStr">
        <is>
          <t>Token content</t>
        </is>
      </c>
      <c r="C10" s="51" t="inlineStr">
        <is>
          <t>V9.2.4</t>
        </is>
      </c>
      <c r="D10" s="52" t="inlineStr">
        <is>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is>
      </c>
      <c r="E10" s="48" t="n">
        <v>2</v>
      </c>
      <c r="F10" s="49" t="inlineStr">
        <is>
          <t>Compliant</t>
        </is>
      </c>
      <c r="G10" s="52" t="inlineStr">
        <is>
          <t>Explicitly covered by Deliveries documentation with direct ASVS traceability (design-phase evidence). Residual risk: Implementation verification is still pending for Phase 2 execution.</t>
        </is>
      </c>
      <c r="H10" s="52" t="inlineStr">
        <is>
          <t>backend/src/main/java/com/desofs/project/config/JwtService.java; backend/src/main/java/com/desofs/project/config/JwtAuthenticationFilter.java; backend/src/main/java/com/desofs/project/user/services/TokenRevocationService.java</t>
        </is>
      </c>
    </row>
  </sheetData>
  <conditionalFormatting sqref="F2:F10">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10"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AC44"/>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V10.1</t>
        </is>
      </c>
      <c r="B2" s="44" t="inlineStr">
        <is>
          <t>Generic OAuth and OIDC Security</t>
        </is>
      </c>
      <c r="C2" s="44" t="n"/>
      <c r="D2" s="44" t="n"/>
      <c r="E2" s="44" t="n"/>
      <c r="F2" s="44" t="n"/>
      <c r="G2" s="44" t="n"/>
      <c r="H2" s="44" t="n"/>
    </row>
    <row r="3" ht="30" customHeight="1" s="28">
      <c r="A3" s="45" t="inlineStr">
        <is>
          <t>V10.1</t>
        </is>
      </c>
      <c r="B3" s="45" t="inlineStr">
        <is>
          <t>Generic OAuth and OIDC Security</t>
        </is>
      </c>
      <c r="C3" s="46" t="inlineStr">
        <is>
          <t>V10.1.1</t>
        </is>
      </c>
      <c r="D3" s="47" t="inlineStr">
        <is>
          <t>Verify that tokens are only sent to components that strictly need them. For example, when using a backend-for-frontend pattern for browser-based JavaScript applications, access and refresh tokens shall only be accessible for the backend.</t>
        </is>
      </c>
      <c r="E3" s="48" t="n">
        <v>2</v>
      </c>
      <c r="F3" s="49" t="inlineStr">
        <is>
          <t>Not Applicable</t>
        </is>
      </c>
      <c r="G3" s="47" t="inlineStr">
        <is>
          <t>No OAuth/OIDC authorization server/client flow is documented; authentication is documented as stateless token-based login. Residual risk: Reassess if OAuth/OIDC is introduced in future phases.</t>
        </is>
      </c>
      <c r="H3"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4" ht="30" customHeight="1" s="28">
      <c r="A4" s="50" t="inlineStr">
        <is>
          <t>V10.1</t>
        </is>
      </c>
      <c r="B4" s="50" t="inlineStr">
        <is>
          <t>Generic OAuth and OIDC Security</t>
        </is>
      </c>
      <c r="C4" s="51" t="inlineStr">
        <is>
          <t>V10.1.2</t>
        </is>
      </c>
      <c r="D4" s="52" t="inlineStr">
        <is>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is>
      </c>
      <c r="E4" s="48" t="n">
        <v>2</v>
      </c>
      <c r="F4" s="49" t="inlineStr">
        <is>
          <t>Not Applicable</t>
        </is>
      </c>
      <c r="G4" s="52" t="inlineStr">
        <is>
          <t>No OAuth/OIDC authorization server/client flow is documented; authentication is documented as stateless token-based login. Residual risk: Reassess if OAuth/OIDC is introduced in future phases.</t>
        </is>
      </c>
      <c r="H4" s="52"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5" ht="18" customHeight="1" s="28">
      <c r="A5" s="44" t="inlineStr">
        <is>
          <t>V10.2</t>
        </is>
      </c>
      <c r="B5" s="44" t="inlineStr">
        <is>
          <t>OAuth Client</t>
        </is>
      </c>
      <c r="C5" s="44" t="n"/>
      <c r="D5" s="44" t="n"/>
      <c r="E5" s="44" t="n"/>
      <c r="F5" s="44" t="n"/>
      <c r="G5" s="44" t="n"/>
      <c r="H5" s="44" t="n"/>
    </row>
    <row r="6" ht="30" customHeight="1" s="28">
      <c r="A6" s="45" t="inlineStr">
        <is>
          <t>V10.2</t>
        </is>
      </c>
      <c r="B6" s="45" t="inlineStr">
        <is>
          <t>OAuth Client</t>
        </is>
      </c>
      <c r="C6" s="46" t="inlineStr">
        <is>
          <t>V10.2.1</t>
        </is>
      </c>
      <c r="D6" s="47" t="inlineStr">
        <is>
          <t>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is>
      </c>
      <c r="E6" s="48" t="n">
        <v>2</v>
      </c>
      <c r="F6" s="49" t="inlineStr">
        <is>
          <t>Not Applicable</t>
        </is>
      </c>
      <c r="G6" s="47" t="inlineStr">
        <is>
          <t>No OAuth/OIDC authorization server/client flow is documented; authentication is documented as stateless token-based login. Residual risk: Reassess if OAuth/OIDC is introduced in future phases.</t>
        </is>
      </c>
      <c r="H6"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7" ht="30" customHeight="1" s="28">
      <c r="A7" s="50" t="inlineStr">
        <is>
          <t>V10.2</t>
        </is>
      </c>
      <c r="B7" s="50" t="inlineStr">
        <is>
          <t>OAuth Client</t>
        </is>
      </c>
      <c r="C7" s="51" t="inlineStr">
        <is>
          <t>V10.2.2</t>
        </is>
      </c>
      <c r="D7" s="52" t="inlineStr">
        <is>
          <t>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is>
      </c>
      <c r="E7" s="48" t="n">
        <v>2</v>
      </c>
      <c r="F7" s="49" t="inlineStr">
        <is>
          <t>Not Applicable</t>
        </is>
      </c>
      <c r="G7" s="52" t="inlineStr">
        <is>
          <t>No OAuth/OIDC authorization server/client flow is documented; authentication is documented as stateless token-based login. Residual risk: Reassess if OAuth/OIDC is introduced in future phases.</t>
        </is>
      </c>
      <c r="H7" s="52"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8" ht="30" customHeight="1" s="28">
      <c r="A8" s="45" t="inlineStr">
        <is>
          <t>V10.2</t>
        </is>
      </c>
      <c r="B8" s="45" t="inlineStr">
        <is>
          <t>OAuth Client</t>
        </is>
      </c>
      <c r="C8" s="46" t="inlineStr">
        <is>
          <t>V10.2.3</t>
        </is>
      </c>
      <c r="D8" s="47" t="inlineStr">
        <is>
          <t>Verify that the OAuth client only requests the required scopes (or other authorization parameters) in requests to the authorization server.</t>
        </is>
      </c>
      <c r="E8" s="54" t="n">
        <v>3</v>
      </c>
      <c r="F8" s="49" t="inlineStr">
        <is>
          <t>Not Applicable</t>
        </is>
      </c>
      <c r="G8" s="47" t="inlineStr">
        <is>
          <t>No OAuth/OIDC authorization server/client flow is documented; authentication is documented as stateless token-based login. Residual risk: Reassess if OAuth/OIDC is introduced in future phases.</t>
        </is>
      </c>
      <c r="H8"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9" ht="18" customHeight="1" s="28">
      <c r="A9" s="44" t="inlineStr">
        <is>
          <t>V10.3</t>
        </is>
      </c>
      <c r="B9" s="44" t="inlineStr">
        <is>
          <t>OAuth Resource Server</t>
        </is>
      </c>
      <c r="C9" s="44" t="n"/>
      <c r="D9" s="44" t="n"/>
      <c r="E9" s="44" t="n"/>
      <c r="F9" s="44" t="n"/>
      <c r="G9" s="44" t="n"/>
      <c r="H9" s="44" t="n"/>
    </row>
    <row r="10" ht="30" customHeight="1" s="28">
      <c r="A10" s="45" t="inlineStr">
        <is>
          <t>V10.3</t>
        </is>
      </c>
      <c r="B10" s="45" t="inlineStr">
        <is>
          <t>OAuth Resource Server</t>
        </is>
      </c>
      <c r="C10" s="46" t="inlineStr">
        <is>
          <t>V10.3.1</t>
        </is>
      </c>
      <c r="D10" s="47" t="inlineStr">
        <is>
          <t>Verify that the resource server only accepts access tokens that are intended for use with that service (audience). The audience may be included in a structured access token (such as the 'aud' claim in JWT), or it can be checked using the token introspection endpoint.</t>
        </is>
      </c>
      <c r="E10" s="48" t="n">
        <v>2</v>
      </c>
      <c r="F10" s="49" t="inlineStr">
        <is>
          <t>Not Applicable</t>
        </is>
      </c>
      <c r="G10" s="47" t="inlineStr">
        <is>
          <t>No OAuth/OIDC authorization server/client flow is documented; authentication is documented as stateless token-based login. Residual risk: Reassess if OAuth/OIDC is introduced in future phases.</t>
        </is>
      </c>
      <c r="H10"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11" ht="30" customHeight="1" s="28">
      <c r="A11" s="50" t="inlineStr">
        <is>
          <t>V10.3</t>
        </is>
      </c>
      <c r="B11" s="50" t="inlineStr">
        <is>
          <t>OAuth Resource Server</t>
        </is>
      </c>
      <c r="C11" s="51" t="inlineStr">
        <is>
          <t>V10.3.2</t>
        </is>
      </c>
      <c r="D11" s="52" t="inlineStr">
        <is>
          <t>Verify that the resource server enforces authorization decisions based on claims from the access token that define delegated authorization. If claims such as 'sub', 'scope', and 'authorization_details' are present, they must be part of the decision.</t>
        </is>
      </c>
      <c r="E11" s="48" t="n">
        <v>2</v>
      </c>
      <c r="F11" s="49" t="inlineStr">
        <is>
          <t>Not Applicable</t>
        </is>
      </c>
      <c r="G11" s="52" t="inlineStr">
        <is>
          <t>No OAuth/OIDC authorization server/client flow is documented; authentication is documented as stateless token-based login. Residual risk: Reassess if OAuth/OIDC is introduced in future phases.</t>
        </is>
      </c>
      <c r="H11" s="52"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12" ht="30" customHeight="1" s="28">
      <c r="A12" s="45" t="inlineStr">
        <is>
          <t>V10.3</t>
        </is>
      </c>
      <c r="B12" s="45" t="inlineStr">
        <is>
          <t>OAuth Resource Server</t>
        </is>
      </c>
      <c r="C12" s="46" t="inlineStr">
        <is>
          <t>V10.3.3</t>
        </is>
      </c>
      <c r="D12" s="47" t="inlineStr">
        <is>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is>
      </c>
      <c r="E12" s="48" t="n">
        <v>2</v>
      </c>
      <c r="F12" s="49" t="inlineStr">
        <is>
          <t>Not Applicable</t>
        </is>
      </c>
      <c r="G12" s="47" t="inlineStr">
        <is>
          <t>No OAuth/OIDC authorization server/client flow is documented; authentication is documented as stateless token-based login. Residual risk: Reassess if OAuth/OIDC is introduced in future phases.</t>
        </is>
      </c>
      <c r="H12"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13" ht="30" customHeight="1" s="28">
      <c r="A13" s="50" t="inlineStr">
        <is>
          <t>V10.3</t>
        </is>
      </c>
      <c r="B13" s="50" t="inlineStr">
        <is>
          <t>OAuth Resource Server</t>
        </is>
      </c>
      <c r="C13" s="51" t="inlineStr">
        <is>
          <t>V10.3.4</t>
        </is>
      </c>
      <c r="D13" s="52" t="inlineStr">
        <is>
          <t>Verify that, if the resource server requires specific authentication strength, methods, or recentness, it verifies that the presented access token satisfies these constraints. For example, if present, using the OIDC 'acr', 'amr' and 'auth_time' claims respectively.</t>
        </is>
      </c>
      <c r="E13" s="48" t="n">
        <v>2</v>
      </c>
      <c r="F13" s="49" t="inlineStr">
        <is>
          <t>Not Applicable</t>
        </is>
      </c>
      <c r="G13" s="52" t="inlineStr">
        <is>
          <t>No OAuth/OIDC authorization server/client flow is documented; authentication is documented as stateless token-based login. Residual risk: Reassess if OAuth/OIDC is introduced in future phases.</t>
        </is>
      </c>
      <c r="H13" s="52"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14" ht="30" customHeight="1" s="28">
      <c r="A14" s="45" t="inlineStr">
        <is>
          <t>V10.3</t>
        </is>
      </c>
      <c r="B14" s="45" t="inlineStr">
        <is>
          <t>OAuth Resource Server</t>
        </is>
      </c>
      <c r="C14" s="46" t="inlineStr">
        <is>
          <t>V10.3.5</t>
        </is>
      </c>
      <c r="D14" s="47" t="inlineStr">
        <is>
          <t>Verify that the resource server prevents the use of stolen access tokens or replay of access tokens (from unauthorized parties) by requiring sender-constrained access tokens, either Mutual TLS for OAuth 2 or OAuth 2 Demonstration of Proof of Possession (DPoP).</t>
        </is>
      </c>
      <c r="E14" s="54" t="n">
        <v>3</v>
      </c>
      <c r="F14" s="49" t="inlineStr">
        <is>
          <t>Not Applicable</t>
        </is>
      </c>
      <c r="G14" s="47" t="inlineStr">
        <is>
          <t>No OAuth/OIDC authorization server/client flow is documented; authentication is documented as stateless token-based login. Residual risk: Reassess if OAuth/OIDC is introduced in future phases.</t>
        </is>
      </c>
      <c r="H14"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15" ht="18" customHeight="1" s="28">
      <c r="A15" s="44" t="inlineStr">
        <is>
          <t>V10.4</t>
        </is>
      </c>
      <c r="B15" s="44" t="inlineStr">
        <is>
          <t>OAuth Authorization Server</t>
        </is>
      </c>
      <c r="C15" s="44" t="n"/>
      <c r="D15" s="44" t="n"/>
      <c r="E15" s="44" t="n"/>
      <c r="F15" s="44" t="n"/>
      <c r="G15" s="44" t="n"/>
      <c r="H15" s="44" t="n"/>
    </row>
    <row r="16" ht="30" customHeight="1" s="28">
      <c r="A16" s="45" t="inlineStr">
        <is>
          <t>V10.4</t>
        </is>
      </c>
      <c r="B16" s="45" t="inlineStr">
        <is>
          <t>OAuth Authorization Server</t>
        </is>
      </c>
      <c r="C16" s="46" t="inlineStr">
        <is>
          <t>V10.4.1</t>
        </is>
      </c>
      <c r="D16" s="47" t="inlineStr">
        <is>
          <t>Verify that the authorization server validates redirect URIs based on a client-specific allowlist of pre-registered URIs using exact string comparison.</t>
        </is>
      </c>
      <c r="E16" s="53" t="n">
        <v>1</v>
      </c>
      <c r="F16" s="49" t="inlineStr">
        <is>
          <t>Not Applicable</t>
        </is>
      </c>
      <c r="G16" s="47" t="inlineStr">
        <is>
          <t>No OAuth/OIDC authorization server/client flow is documented; authentication is documented as stateless token-based login. Residual risk: Reassess if OAuth/OIDC is introduced in future phases.</t>
        </is>
      </c>
      <c r="H16"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17" ht="30" customHeight="1" s="28">
      <c r="A17" s="50" t="inlineStr">
        <is>
          <t>V10.4</t>
        </is>
      </c>
      <c r="B17" s="50" t="inlineStr">
        <is>
          <t>OAuth Authorization Server</t>
        </is>
      </c>
      <c r="C17" s="51" t="inlineStr">
        <is>
          <t>V10.4.2</t>
        </is>
      </c>
      <c r="D17" s="52" t="inlineStr">
        <is>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is>
      </c>
      <c r="E17" s="53" t="n">
        <v>1</v>
      </c>
      <c r="F17" s="49" t="inlineStr">
        <is>
          <t>Not Applicable</t>
        </is>
      </c>
      <c r="G17" s="52" t="inlineStr">
        <is>
          <t>No OAuth/OIDC authorization server/client flow is documented; authentication is documented as stateless token-based login. Residual risk: Reassess if OAuth/OIDC is introduced in future phases.</t>
        </is>
      </c>
      <c r="H17" s="52"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18" ht="30" customHeight="1" s="28">
      <c r="A18" s="45" t="inlineStr">
        <is>
          <t>V10.4</t>
        </is>
      </c>
      <c r="B18" s="45" t="inlineStr">
        <is>
          <t>OAuth Authorization Server</t>
        </is>
      </c>
      <c r="C18" s="46" t="inlineStr">
        <is>
          <t>V10.4.3</t>
        </is>
      </c>
      <c r="D18" s="47" t="inlineStr">
        <is>
          <t>Verify that the authorization code is short-lived. The maximum lifetime can be up to 10 minutes for L1 and L2 applications and up to 1 minute for L3 applications.</t>
        </is>
      </c>
      <c r="E18" s="53" t="n">
        <v>1</v>
      </c>
      <c r="F18" s="49" t="inlineStr">
        <is>
          <t>Not Applicable</t>
        </is>
      </c>
      <c r="G18" s="47" t="inlineStr">
        <is>
          <t>No OAuth/OIDC authorization server/client flow is documented; authentication is documented as stateless token-based login. Residual risk: Reassess if OAuth/OIDC is introduced in future phases.</t>
        </is>
      </c>
      <c r="H18"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19" ht="30" customHeight="1" s="28">
      <c r="A19" s="50" t="inlineStr">
        <is>
          <t>V10.4</t>
        </is>
      </c>
      <c r="B19" s="50" t="inlineStr">
        <is>
          <t>OAuth Authorization Server</t>
        </is>
      </c>
      <c r="C19" s="51" t="inlineStr">
        <is>
          <t>V10.4.4</t>
        </is>
      </c>
      <c r="D19" s="52" t="inlineStr">
        <is>
          <t>Verify that for a given client, the authorization server only allows the usage of grants that this client needs to use. Note that the grants 'token' (Implicit flow) and 'password' (Resource Owner Password Credentials flow) must no longer be used.</t>
        </is>
      </c>
      <c r="E19" s="53" t="n">
        <v>1</v>
      </c>
      <c r="F19" s="49" t="inlineStr">
        <is>
          <t>Not Applicable</t>
        </is>
      </c>
      <c r="G19" s="52" t="inlineStr">
        <is>
          <t>No OAuth/OIDC authorization server/client flow is documented; authentication is documented as stateless token-based login. Residual risk: Reassess if OAuth/OIDC is introduced in future phases.</t>
        </is>
      </c>
      <c r="H19" s="52"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20" ht="30" customHeight="1" s="28">
      <c r="A20" s="45" t="inlineStr">
        <is>
          <t>V10.4</t>
        </is>
      </c>
      <c r="B20" s="45" t="inlineStr">
        <is>
          <t>OAuth Authorization Server</t>
        </is>
      </c>
      <c r="C20" s="46" t="inlineStr">
        <is>
          <t>V10.4.5</t>
        </is>
      </c>
      <c r="D20" s="47" t="inlineStr">
        <is>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is>
      </c>
      <c r="E20" s="53" t="n">
        <v>1</v>
      </c>
      <c r="F20" s="49" t="inlineStr">
        <is>
          <t>Not Applicable</t>
        </is>
      </c>
      <c r="G20" s="47" t="inlineStr">
        <is>
          <t>No OAuth/OIDC authorization server/client flow is documented; authentication is documented as stateless token-based login. Residual risk: Reassess if OAuth/OIDC is introduced in future phases.</t>
        </is>
      </c>
      <c r="H20"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21" ht="30" customHeight="1" s="28">
      <c r="A21" s="50" t="inlineStr">
        <is>
          <t>V10.4</t>
        </is>
      </c>
      <c r="B21" s="50" t="inlineStr">
        <is>
          <t>OAuth Authorization Server</t>
        </is>
      </c>
      <c r="C21" s="51" t="inlineStr">
        <is>
          <t>V10.4.6</t>
        </is>
      </c>
      <c r="D21" s="52" t="inlineStr">
        <is>
          <t>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is>
      </c>
      <c r="E21" s="48" t="n">
        <v>2</v>
      </c>
      <c r="F21" s="49" t="inlineStr">
        <is>
          <t>Not Applicable</t>
        </is>
      </c>
      <c r="G21" s="52" t="inlineStr">
        <is>
          <t>No OAuth/OIDC authorization server/client flow is documented; authentication is documented as stateless token-based login. Residual risk: Reassess if OAuth/OIDC is introduced in future phases.</t>
        </is>
      </c>
      <c r="H21" s="52"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22" ht="30" customHeight="1" s="28">
      <c r="A22" s="45" t="inlineStr">
        <is>
          <t>V10.4</t>
        </is>
      </c>
      <c r="B22" s="45" t="inlineStr">
        <is>
          <t>OAuth Authorization Server</t>
        </is>
      </c>
      <c r="C22" s="46" t="inlineStr">
        <is>
          <t>V10.4.7</t>
        </is>
      </c>
      <c r="D22" s="47" t="inlineStr">
        <is>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is>
      </c>
      <c r="E22" s="48" t="n">
        <v>2</v>
      </c>
      <c r="F22" s="49" t="inlineStr">
        <is>
          <t>Not Applicable</t>
        </is>
      </c>
      <c r="G22" s="47" t="inlineStr">
        <is>
          <t>No OAuth/OIDC authorization server/client flow is documented; authentication is documented as stateless token-based login. Residual risk: Reassess if OAuth/OIDC is introduced in future phases.</t>
        </is>
      </c>
      <c r="H22"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23" ht="30" customHeight="1" s="28">
      <c r="A23" s="50" t="inlineStr">
        <is>
          <t>V10.4</t>
        </is>
      </c>
      <c r="B23" s="50" t="inlineStr">
        <is>
          <t>OAuth Authorization Server</t>
        </is>
      </c>
      <c r="C23" s="51" t="inlineStr">
        <is>
          <t>V10.4.8</t>
        </is>
      </c>
      <c r="D23" s="52" t="inlineStr">
        <is>
          <t>Verify that refresh tokens have an absolute expiration, including if sliding refresh token expiration is applied.</t>
        </is>
      </c>
      <c r="E23" s="48" t="n">
        <v>2</v>
      </c>
      <c r="F23" s="49" t="inlineStr">
        <is>
          <t>Not Applicable</t>
        </is>
      </c>
      <c r="G23" s="52" t="inlineStr">
        <is>
          <t>No OAuth/OIDC authorization server/client flow is documented; authentication is documented as stateless token-based login. Residual risk: Reassess if OAuth/OIDC is introduced in future phases.</t>
        </is>
      </c>
      <c r="H23" s="52"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24" ht="30" customHeight="1" s="28">
      <c r="A24" s="45" t="inlineStr">
        <is>
          <t>V10.4</t>
        </is>
      </c>
      <c r="B24" s="45" t="inlineStr">
        <is>
          <t>OAuth Authorization Server</t>
        </is>
      </c>
      <c r="C24" s="46" t="inlineStr">
        <is>
          <t>V10.4.9</t>
        </is>
      </c>
      <c r="D24" s="47" t="inlineStr">
        <is>
          <t>Verify that refresh tokens and reference access tokens can be revoked by an authorized user using the authorization server user interface, to mitigate the risk of malicious clients or stolen tokens.</t>
        </is>
      </c>
      <c r="E24" s="48" t="n">
        <v>2</v>
      </c>
      <c r="F24" s="49" t="inlineStr">
        <is>
          <t>Not Applicable</t>
        </is>
      </c>
      <c r="G24" s="47" t="inlineStr">
        <is>
          <t>No OAuth/OIDC authorization server/client flow is documented; authentication is documented as stateless token-based login. Residual risk: Reassess if OAuth/OIDC is introduced in future phases.</t>
        </is>
      </c>
      <c r="H24"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25" ht="30" customHeight="1" s="28">
      <c r="A25" s="50" t="inlineStr">
        <is>
          <t>V10.4</t>
        </is>
      </c>
      <c r="B25" s="50" t="inlineStr">
        <is>
          <t>OAuth Authorization Server</t>
        </is>
      </c>
      <c r="C25" s="51" t="inlineStr">
        <is>
          <t>V10.4.10</t>
        </is>
      </c>
      <c r="D25" s="52" t="inlineStr">
        <is>
          <t>Verify that confidential client is authenticated for client-to-authorized server backchannel requests such as token requests, pushed authorization requests (PAR), and token revocation requests.</t>
        </is>
      </c>
      <c r="E25" s="48" t="n">
        <v>2</v>
      </c>
      <c r="F25" s="49" t="inlineStr">
        <is>
          <t>Not Applicable</t>
        </is>
      </c>
      <c r="G25" s="52" t="inlineStr">
        <is>
          <t>No OAuth/OIDC authorization server/client flow is documented; authentication is documented as stateless token-based login. Residual risk: Reassess if OAuth/OIDC is introduced in future phases.</t>
        </is>
      </c>
      <c r="H25" s="52"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26" ht="30" customHeight="1" s="28">
      <c r="A26" s="45" t="inlineStr">
        <is>
          <t>V10.4</t>
        </is>
      </c>
      <c r="B26" s="45" t="inlineStr">
        <is>
          <t>OAuth Authorization Server</t>
        </is>
      </c>
      <c r="C26" s="46" t="inlineStr">
        <is>
          <t>V10.4.11</t>
        </is>
      </c>
      <c r="D26" s="47" t="inlineStr">
        <is>
          <t>Verify that the authorization server configuration only assigns the required scopes to the OAuth client.</t>
        </is>
      </c>
      <c r="E26" s="48" t="n">
        <v>2</v>
      </c>
      <c r="F26" s="49" t="inlineStr">
        <is>
          <t>Not Applicable</t>
        </is>
      </c>
      <c r="G26" s="47" t="inlineStr">
        <is>
          <t>No OAuth/OIDC authorization server/client flow is documented; authentication is documented as stateless token-based login. Residual risk: Reassess if OAuth/OIDC is introduced in future phases.</t>
        </is>
      </c>
      <c r="H26"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27" ht="30" customHeight="1" s="28">
      <c r="A27" s="50" t="inlineStr">
        <is>
          <t>V10.4</t>
        </is>
      </c>
      <c r="B27" s="50" t="inlineStr">
        <is>
          <t>OAuth Authorization Server</t>
        </is>
      </c>
      <c r="C27" s="51" t="inlineStr">
        <is>
          <t>V10.4.12</t>
        </is>
      </c>
      <c r="D27" s="52" t="inlineStr">
        <is>
          <t>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is>
      </c>
      <c r="E27" s="54" t="n">
        <v>3</v>
      </c>
      <c r="F27" s="49" t="inlineStr">
        <is>
          <t>Not Applicable</t>
        </is>
      </c>
      <c r="G27" s="52" t="inlineStr">
        <is>
          <t>No OAuth/OIDC authorization server/client flow is documented; authentication is documented as stateless token-based login. Residual risk: Reassess if OAuth/OIDC is introduced in future phases.</t>
        </is>
      </c>
      <c r="H27" s="52"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28" ht="30" customHeight="1" s="28">
      <c r="A28" s="45" t="inlineStr">
        <is>
          <t>V10.4</t>
        </is>
      </c>
      <c r="B28" s="45" t="inlineStr">
        <is>
          <t>OAuth Authorization Server</t>
        </is>
      </c>
      <c r="C28" s="46" t="inlineStr">
        <is>
          <t>V10.4.13</t>
        </is>
      </c>
      <c r="D28" s="47" t="inlineStr">
        <is>
          <t>Verify that grant type 'code' is always used together with pushed authorization requests (PAR).</t>
        </is>
      </c>
      <c r="E28" s="54" t="n">
        <v>3</v>
      </c>
      <c r="F28" s="49" t="inlineStr">
        <is>
          <t>Not Applicable</t>
        </is>
      </c>
      <c r="G28" s="47" t="inlineStr">
        <is>
          <t>No OAuth/OIDC authorization server/client flow is documented; authentication is documented as stateless token-based login. Residual risk: Reassess if OAuth/OIDC is introduced in future phases.</t>
        </is>
      </c>
      <c r="H28"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29" ht="30" customHeight="1" s="28">
      <c r="A29" s="50" t="inlineStr">
        <is>
          <t>V10.4</t>
        </is>
      </c>
      <c r="B29" s="50" t="inlineStr">
        <is>
          <t>OAuth Authorization Server</t>
        </is>
      </c>
      <c r="C29" s="51" t="inlineStr">
        <is>
          <t>V10.4.14</t>
        </is>
      </c>
      <c r="D29" s="52" t="inlineStr">
        <is>
          <t>Verify that the authorization server issues only sender-constrained (Proof-of-Possession) access tokens, either with certificate-bound access tokens using mutual TLS (mTLS) or DPoP-bound access tokens (Demonstration of Proof of Possession).</t>
        </is>
      </c>
      <c r="E29" s="54" t="n">
        <v>3</v>
      </c>
      <c r="F29" s="49" t="inlineStr">
        <is>
          <t>Not Applicable</t>
        </is>
      </c>
      <c r="G29" s="52" t="inlineStr">
        <is>
          <t>No OAuth/OIDC authorization server/client flow is documented; authentication is documented as stateless token-based login. Residual risk: Reassess if OAuth/OIDC is introduced in future phases.</t>
        </is>
      </c>
      <c r="H29" s="52"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30" ht="30" customHeight="1" s="28">
      <c r="A30" s="45" t="inlineStr">
        <is>
          <t>V10.4</t>
        </is>
      </c>
      <c r="B30" s="45" t="inlineStr">
        <is>
          <t>OAuth Authorization Server</t>
        </is>
      </c>
      <c r="C30" s="46" t="inlineStr">
        <is>
          <t>V10.4.15</t>
        </is>
      </c>
      <c r="D30" s="47" t="inlineStr">
        <is>
          <t>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is>
      </c>
      <c r="E30" s="54" t="n">
        <v>3</v>
      </c>
      <c r="F30" s="49" t="inlineStr">
        <is>
          <t>Not Applicable</t>
        </is>
      </c>
      <c r="G30" s="47" t="inlineStr">
        <is>
          <t>No OAuth/OIDC authorization server/client flow is documented; authentication is documented as stateless token-based login. Residual risk: Reassess if OAuth/OIDC is introduced in future phases.</t>
        </is>
      </c>
      <c r="H30"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31" ht="30" customHeight="1" s="28">
      <c r="A31" s="50" t="inlineStr">
        <is>
          <t>V10.4</t>
        </is>
      </c>
      <c r="B31" s="50" t="inlineStr">
        <is>
          <t>OAuth Authorization Server</t>
        </is>
      </c>
      <c r="C31" s="51" t="inlineStr">
        <is>
          <t>V10.4.16</t>
        </is>
      </c>
      <c r="D31" s="52" t="inlineStr">
        <is>
          <t>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is>
      </c>
      <c r="E31" s="54" t="n">
        <v>3</v>
      </c>
      <c r="F31" s="49" t="inlineStr">
        <is>
          <t>Not Applicable</t>
        </is>
      </c>
      <c r="G31" s="52" t="inlineStr">
        <is>
          <t>No OAuth/OIDC authorization server/client flow is documented; authentication is documented as stateless token-based login. Residual risk: Reassess if OAuth/OIDC is introduced in future phases.</t>
        </is>
      </c>
      <c r="H31" s="52"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32" ht="18" customHeight="1" s="28">
      <c r="A32" s="44" t="inlineStr">
        <is>
          <t>V10.5</t>
        </is>
      </c>
      <c r="B32" s="44" t="inlineStr">
        <is>
          <t>OIDC Client</t>
        </is>
      </c>
      <c r="C32" s="44" t="n"/>
      <c r="D32" s="44" t="n"/>
      <c r="E32" s="44" t="n"/>
      <c r="F32" s="44" t="n"/>
      <c r="G32" s="44" t="n"/>
      <c r="H32" s="44" t="n"/>
    </row>
    <row r="33" ht="30" customHeight="1" s="28">
      <c r="A33" s="45" t="inlineStr">
        <is>
          <t>V10.5</t>
        </is>
      </c>
      <c r="B33" s="45" t="inlineStr">
        <is>
          <t>OIDC Client</t>
        </is>
      </c>
      <c r="C33" s="46" t="inlineStr">
        <is>
          <t>V10.5.1</t>
        </is>
      </c>
      <c r="D33" s="47" t="inlineStr">
        <is>
          <t>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is>
      </c>
      <c r="E33" s="48" t="n">
        <v>2</v>
      </c>
      <c r="F33" s="49" t="inlineStr">
        <is>
          <t>Not Applicable</t>
        </is>
      </c>
      <c r="G33" s="47" t="inlineStr">
        <is>
          <t>No OAuth/OIDC authorization server/client flow is documented; authentication is documented as stateless token-based login. Residual risk: Reassess if OAuth/OIDC is introduced in future phases.</t>
        </is>
      </c>
      <c r="H33"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34" ht="30" customHeight="1" s="28">
      <c r="A34" s="50" t="inlineStr">
        <is>
          <t>V10.5</t>
        </is>
      </c>
      <c r="B34" s="50" t="inlineStr">
        <is>
          <t>OIDC Client</t>
        </is>
      </c>
      <c r="C34" s="51" t="inlineStr">
        <is>
          <t>V10.5.2</t>
        </is>
      </c>
      <c r="D34" s="52" t="inlineStr">
        <is>
          <t>Verify that the client uniquely identifies the user from ID Token claims, usually the 'sub' claim, which cannot be reassigned to other users (for the scope of an identity provider).</t>
        </is>
      </c>
      <c r="E34" s="48" t="n">
        <v>2</v>
      </c>
      <c r="F34" s="49" t="inlineStr">
        <is>
          <t>Not Applicable</t>
        </is>
      </c>
      <c r="G34" s="52" t="inlineStr">
        <is>
          <t>No OAuth/OIDC authorization server/client flow is documented; authentication is documented as stateless token-based login. Residual risk: Reassess if OAuth/OIDC is introduced in future phases.</t>
        </is>
      </c>
      <c r="H34" s="52"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35" ht="30" customHeight="1" s="28">
      <c r="A35" s="45" t="inlineStr">
        <is>
          <t>V10.5</t>
        </is>
      </c>
      <c r="B35" s="45" t="inlineStr">
        <is>
          <t>OIDC Client</t>
        </is>
      </c>
      <c r="C35" s="46" t="inlineStr">
        <is>
          <t>V10.5.3</t>
        </is>
      </c>
      <c r="D35" s="47" t="inlineStr">
        <is>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is>
      </c>
      <c r="E35" s="48" t="n">
        <v>2</v>
      </c>
      <c r="F35" s="49" t="inlineStr">
        <is>
          <t>Not Applicable</t>
        </is>
      </c>
      <c r="G35" s="47" t="inlineStr">
        <is>
          <t>No OAuth/OIDC authorization server/client flow is documented; authentication is documented as stateless token-based login. Residual risk: Reassess if OAuth/OIDC is introduced in future phases.</t>
        </is>
      </c>
      <c r="H35"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36" ht="30" customHeight="1" s="28">
      <c r="A36" s="50" t="inlineStr">
        <is>
          <t>V10.5</t>
        </is>
      </c>
      <c r="B36" s="50" t="inlineStr">
        <is>
          <t>OIDC Client</t>
        </is>
      </c>
      <c r="C36" s="51" t="inlineStr">
        <is>
          <t>V10.5.4</t>
        </is>
      </c>
      <c r="D36" s="52" t="inlineStr">
        <is>
          <t>Verify that the client validates that the ID Token is intended to be used for that client (audience) by checking that the 'aud' claim from the token is equal to the 'client_id' value for the client.</t>
        </is>
      </c>
      <c r="E36" s="48" t="n">
        <v>2</v>
      </c>
      <c r="F36" s="49" t="inlineStr">
        <is>
          <t>Not Applicable</t>
        </is>
      </c>
      <c r="G36" s="52" t="inlineStr">
        <is>
          <t>No OAuth/OIDC authorization server/client flow is documented; authentication is documented as stateless token-based login. Residual risk: Reassess if OAuth/OIDC is introduced in future phases.</t>
        </is>
      </c>
      <c r="H36" s="52"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37" ht="30" customHeight="1" s="28">
      <c r="A37" s="45" t="inlineStr">
        <is>
          <t>V10.5</t>
        </is>
      </c>
      <c r="B37" s="45" t="inlineStr">
        <is>
          <t>OIDC Client</t>
        </is>
      </c>
      <c r="C37" s="46" t="inlineStr">
        <is>
          <t>V10.5.5</t>
        </is>
      </c>
      <c r="D37" s="47" t="inlineStr">
        <is>
          <t>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is>
      </c>
      <c r="E37" s="48" t="n">
        <v>2</v>
      </c>
      <c r="F37" s="49" t="inlineStr">
        <is>
          <t>Not Applicable</t>
        </is>
      </c>
      <c r="G37" s="47" t="inlineStr">
        <is>
          <t>No OAuth/OIDC authorization server/client flow is documented; authentication is documented as stateless token-based login. Residual risk: Reassess if OAuth/OIDC is introduced in future phases.</t>
        </is>
      </c>
      <c r="H37"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38" ht="18" customHeight="1" s="28">
      <c r="A38" s="44" t="inlineStr">
        <is>
          <t>V10.6</t>
        </is>
      </c>
      <c r="B38" s="44" t="inlineStr">
        <is>
          <t>OpenID Provider</t>
        </is>
      </c>
      <c r="C38" s="44" t="n"/>
      <c r="D38" s="44" t="n"/>
      <c r="E38" s="44" t="n"/>
      <c r="F38" s="44" t="n"/>
      <c r="G38" s="44" t="n"/>
      <c r="H38" s="44" t="n"/>
    </row>
    <row r="39" ht="30" customHeight="1" s="28">
      <c r="A39" s="45" t="inlineStr">
        <is>
          <t>V10.6</t>
        </is>
      </c>
      <c r="B39" s="45" t="inlineStr">
        <is>
          <t>OpenID Provider</t>
        </is>
      </c>
      <c r="C39" s="46" t="inlineStr">
        <is>
          <t>V10.6.1</t>
        </is>
      </c>
      <c r="D39" s="47" t="inlineStr">
        <is>
          <t>Verify that the OpenID Provider only allows values 'code', 'ciba', 'id_token', or 'id_token code' for response mode. Note that 'code' is preferred over 'id_token code' (the OIDC Hybrid flow), and 'token' (any Implicit flow) must not be used.</t>
        </is>
      </c>
      <c r="E39" s="48" t="n">
        <v>2</v>
      </c>
      <c r="F39" s="49" t="inlineStr">
        <is>
          <t>Not Applicable</t>
        </is>
      </c>
      <c r="G39" s="47" t="inlineStr">
        <is>
          <t>No OAuth/OIDC authorization server/client flow is documented; authentication is documented as stateless token-based login. Residual risk: Reassess if OAuth/OIDC is introduced in future phases.</t>
        </is>
      </c>
      <c r="H39"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40" ht="30" customHeight="1" s="28">
      <c r="A40" s="50" t="inlineStr">
        <is>
          <t>V10.6</t>
        </is>
      </c>
      <c r="B40" s="50" t="inlineStr">
        <is>
          <t>OpenID Provider</t>
        </is>
      </c>
      <c r="C40" s="51" t="inlineStr">
        <is>
          <t>V10.6.2</t>
        </is>
      </c>
      <c r="D40" s="52" t="inlineStr">
        <is>
          <t>Verify that the OpenID Provider mitigates denial of service through forced logout. By obtaining explicit confirmation from the end-user or, if present, validating parameters in the logout request (initiated by the relying party), such as the 'id_token_hint'.</t>
        </is>
      </c>
      <c r="E40" s="48" t="n">
        <v>2</v>
      </c>
      <c r="F40" s="49" t="inlineStr">
        <is>
          <t>Not Applicable</t>
        </is>
      </c>
      <c r="G40" s="52" t="inlineStr">
        <is>
          <t>No OAuth/OIDC authorization server/client flow is documented; authentication is documented as stateless token-based login. Residual risk: Reassess if OAuth/OIDC is introduced in future phases.</t>
        </is>
      </c>
      <c r="H40" s="52"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41" ht="18" customHeight="1" s="28">
      <c r="A41" s="44" t="inlineStr">
        <is>
          <t>V10.7</t>
        </is>
      </c>
      <c r="B41" s="44" t="inlineStr">
        <is>
          <t>Consent Management</t>
        </is>
      </c>
      <c r="C41" s="44" t="n"/>
      <c r="D41" s="44" t="n"/>
      <c r="E41" s="44" t="n"/>
      <c r="F41" s="44" t="n"/>
      <c r="G41" s="44" t="n"/>
      <c r="H41" s="44" t="n"/>
    </row>
    <row r="42" ht="30" customHeight="1" s="28">
      <c r="A42" s="45" t="inlineStr">
        <is>
          <t>V10.7</t>
        </is>
      </c>
      <c r="B42" s="45" t="inlineStr">
        <is>
          <t>Consent Management</t>
        </is>
      </c>
      <c r="C42" s="46" t="inlineStr">
        <is>
          <t>V10.7.1</t>
        </is>
      </c>
      <c r="D42" s="47" t="inlineStr">
        <is>
          <t>Verify that the authorization server ensures that the user consents to each authorization request. If the identity of the client cannot be assured, the authorization server must always explicitly prompt the user for consent.</t>
        </is>
      </c>
      <c r="E42" s="48" t="n">
        <v>2</v>
      </c>
      <c r="F42" s="49" t="inlineStr">
        <is>
          <t>Not Applicable</t>
        </is>
      </c>
      <c r="G42" s="47" t="inlineStr">
        <is>
          <t>No OAuth/OIDC authorization server/client flow is documented; authentication is documented as stateless token-based login. Residual risk: Reassess if OAuth/OIDC is introduced in future phases.</t>
        </is>
      </c>
      <c r="H42"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43" ht="30" customHeight="1" s="28">
      <c r="A43" s="50" t="inlineStr">
        <is>
          <t>V10.7</t>
        </is>
      </c>
      <c r="B43" s="50" t="inlineStr">
        <is>
          <t>Consent Management</t>
        </is>
      </c>
      <c r="C43" s="51" t="inlineStr">
        <is>
          <t>V10.7.2</t>
        </is>
      </c>
      <c r="D43" s="52" t="inlineStr">
        <is>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is>
      </c>
      <c r="E43" s="48" t="n">
        <v>2</v>
      </c>
      <c r="F43" s="49" t="inlineStr">
        <is>
          <t>Not Applicable</t>
        </is>
      </c>
      <c r="G43" s="52" t="inlineStr">
        <is>
          <t>No OAuth/OIDC authorization server/client flow is documented; authentication is documented as stateless token-based login. Residual risk: Reassess if OAuth/OIDC is introduced in future phases.</t>
        </is>
      </c>
      <c r="H43" s="52"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44" ht="30" customHeight="1" s="28">
      <c r="A44" s="45" t="inlineStr">
        <is>
          <t>V10.7</t>
        </is>
      </c>
      <c r="B44" s="45" t="inlineStr">
        <is>
          <t>Consent Management</t>
        </is>
      </c>
      <c r="C44" s="46" t="inlineStr">
        <is>
          <t>V10.7.3</t>
        </is>
      </c>
      <c r="D44" s="47" t="inlineStr">
        <is>
          <t>Verify that the user can review, modify, and revoke consents which the user has granted through the authorization server.</t>
        </is>
      </c>
      <c r="E44" s="48" t="n">
        <v>2</v>
      </c>
      <c r="F44" s="49" t="inlineStr">
        <is>
          <t>Not Applicable</t>
        </is>
      </c>
      <c r="G44" s="47" t="inlineStr">
        <is>
          <t>No OAuth/OIDC authorization server/client flow is documented; authentication is documented as stateless token-based login. Residual risk: Reassess if OAuth/OIDC is introduced in future phases.</t>
        </is>
      </c>
      <c r="H44"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sheetData>
  <conditionalFormatting sqref="F2:F44">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44"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AC32"/>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V11.1</t>
        </is>
      </c>
      <c r="B2" s="44" t="inlineStr">
        <is>
          <t>Cryptographic Inventory and Documentation</t>
        </is>
      </c>
      <c r="C2" s="44" t="n"/>
      <c r="D2" s="44" t="n"/>
      <c r="E2" s="44" t="n"/>
      <c r="F2" s="44" t="n"/>
      <c r="G2" s="44" t="n"/>
      <c r="H2" s="44" t="n"/>
    </row>
    <row r="3" ht="30" customHeight="1" s="28">
      <c r="A3" s="45" t="inlineStr">
        <is>
          <t>V11.1</t>
        </is>
      </c>
      <c r="B3" s="45" t="inlineStr">
        <is>
          <t>Cryptographic Inventory and Documentation</t>
        </is>
      </c>
      <c r="C3" s="46" t="inlineStr">
        <is>
          <t>V11.1.1</t>
        </is>
      </c>
      <c r="D3" s="47" t="inlineStr">
        <is>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is>
      </c>
      <c r="E3" s="48" t="n">
        <v>2</v>
      </c>
      <c r="F3" s="49" t="inlineStr">
        <is>
          <t>Compliant</t>
        </is>
      </c>
      <c r="G3" s="47" t="inlineStr">
        <is>
          <t>Explicitly covered by Deliveries documentation with direct ASVS traceability (design-phase evidence). Residual risk: Implementation verification is still pending for Phase 2 execution.</t>
        </is>
      </c>
      <c r="H3" s="47" t="inlineStr">
        <is>
          <t>Deliveries/Phase1/traceability-matrix.md (Section 3, traceability matrix, TM-019)</t>
        </is>
      </c>
    </row>
    <row r="4" ht="30" customHeight="1" s="28">
      <c r="A4" s="50" t="inlineStr">
        <is>
          <t>V11.1</t>
        </is>
      </c>
      <c r="B4" s="50" t="inlineStr">
        <is>
          <t>Cryptographic Inventory and Documentation</t>
        </is>
      </c>
      <c r="C4" s="51" t="inlineStr">
        <is>
          <t>V11.1.2</t>
        </is>
      </c>
      <c r="D4" s="52" t="inlineStr">
        <is>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is>
      </c>
      <c r="E4" s="48" t="n">
        <v>2</v>
      </c>
      <c r="F4" s="49" t="inlineStr">
        <is>
          <t>Compliant</t>
        </is>
      </c>
      <c r="G4" s="52" t="inlineStr">
        <is>
          <t>Explicitly covered by Deliveries documentation with direct ASVS traceability (design-phase evidence). Residual risk: Implementation verification is still pending for Phase 2 execution.</t>
        </is>
      </c>
      <c r="H4" s="52" t="inlineStr">
        <is>
          <t>backend/src/main/java/com/desofs/project/config/ApplicationConfig.java; backend/src/main/java/com/desofs/project/config/JwtService.java; backend/src/main/resources/application.yml</t>
        </is>
      </c>
    </row>
    <row r="5" ht="30" customHeight="1" s="28">
      <c r="A5" s="45" t="inlineStr">
        <is>
          <t>V11.1</t>
        </is>
      </c>
      <c r="B5" s="45" t="inlineStr">
        <is>
          <t>Cryptographic Inventory and Documentation</t>
        </is>
      </c>
      <c r="C5" s="46" t="inlineStr">
        <is>
          <t>V11.1.3</t>
        </is>
      </c>
      <c r="D5" s="47" t="inlineStr">
        <is>
          <t>Verify that cryptographic discovery mechanisms are employed to identify all instances of cryptography in the system, including encryption, hashing, and signing operations.</t>
        </is>
      </c>
      <c r="E5" s="54" t="n">
        <v>3</v>
      </c>
      <c r="F5" s="49" t="inlineStr">
        <is>
          <t>Compliant</t>
        </is>
      </c>
      <c r="G5" s="47" t="inlineStr">
        <is>
          <t>Explicitly covered by Deliveries documentation with direct ASVS traceability (design-phase evidence). Residual risk: Implementation verification is still pending for Phase 2 execution.</t>
        </is>
      </c>
      <c r="H5" s="47" t="inlineStr">
        <is>
          <t>backend/src/main/java/com/desofs/project/config/ApplicationConfig.java; backend/src/main/java/com/desofs/project/config/JwtService.java; backend/src/main/resources/application.yml</t>
        </is>
      </c>
    </row>
    <row r="6" ht="30" customHeight="1" s="28">
      <c r="A6" s="50" t="inlineStr">
        <is>
          <t>V11.1</t>
        </is>
      </c>
      <c r="B6" s="50" t="inlineStr">
        <is>
          <t>Cryptographic Inventory and Documentation</t>
        </is>
      </c>
      <c r="C6" s="51" t="inlineStr">
        <is>
          <t>V11.1.4</t>
        </is>
      </c>
      <c r="D6" s="52" t="inlineStr">
        <is>
          <t>Verify that a cryptographic inventory is maintained. This must include a documented plan that outlines the migration path to new cryptographic standards, such as post-quantum cryptography, in order to react to future threats.</t>
        </is>
      </c>
      <c r="E6" s="54" t="n">
        <v>3</v>
      </c>
      <c r="F6" s="49" t="inlineStr">
        <is>
          <t>Compliant</t>
        </is>
      </c>
      <c r="G6" s="52" t="inlineStr">
        <is>
          <t>Explicitly covered by Deliveries documentation with direct ASVS traceability (design-phase evidence). Residual risk: Implementation verification is still pending for Phase 2 execution.</t>
        </is>
      </c>
      <c r="H6" s="52" t="inlineStr">
        <is>
          <t>backend/src/main/java/com/desofs/project/config/ApplicationConfig.java; backend/src/main/java/com/desofs/project/config/JwtService.java; backend/src/main/resources/application.yml</t>
        </is>
      </c>
    </row>
    <row r="7" ht="18" customHeight="1" s="28">
      <c r="A7" s="44" t="inlineStr">
        <is>
          <t>V11.2</t>
        </is>
      </c>
      <c r="B7" s="44" t="inlineStr">
        <is>
          <t>Secure Cryptography Implementation</t>
        </is>
      </c>
      <c r="C7" s="44" t="n"/>
      <c r="D7" s="44" t="n"/>
      <c r="E7" s="44" t="n"/>
      <c r="F7" s="44" t="n"/>
      <c r="G7" s="44" t="n"/>
      <c r="H7" s="44" t="n"/>
    </row>
    <row r="8" ht="30" customHeight="1" s="28">
      <c r="A8" s="45" t="inlineStr">
        <is>
          <t>V11.2</t>
        </is>
      </c>
      <c r="B8" s="45" t="inlineStr">
        <is>
          <t>Secure Cryptography Implementation</t>
        </is>
      </c>
      <c r="C8" s="46" t="inlineStr">
        <is>
          <t>V11.2.1</t>
        </is>
      </c>
      <c r="D8" s="47" t="inlineStr">
        <is>
          <t>Verify that industry-validated implementations (including libraries and hardware-accelerated implementations) are used for cryptographic operations.</t>
        </is>
      </c>
      <c r="E8" s="48" t="n">
        <v>2</v>
      </c>
      <c r="F8" s="49" t="inlineStr">
        <is>
          <t>Compliant</t>
        </is>
      </c>
      <c r="G8" s="47" t="inlineStr">
        <is>
          <t>Explicitly covered by Deliveries documentation with direct ASVS traceability (design-phase evidence). Residual risk: Implementation verification is still pending for Phase 2 execution.</t>
        </is>
      </c>
      <c r="H8" s="47" t="inlineStr">
        <is>
          <t>backend/src/main/java/com/desofs/project/config/ApplicationConfig.java; backend/src/main/java/com/desofs/project/config/JwtService.java; backend/src/main/resources/application.yml</t>
        </is>
      </c>
    </row>
    <row r="9" ht="30" customHeight="1" s="28">
      <c r="A9" s="50" t="inlineStr">
        <is>
          <t>V11.2</t>
        </is>
      </c>
      <c r="B9" s="50" t="inlineStr">
        <is>
          <t>Secure Cryptography Implementation</t>
        </is>
      </c>
      <c r="C9" s="51" t="inlineStr">
        <is>
          <t>V11.2.2</t>
        </is>
      </c>
      <c r="D9" s="52" t="inlineStr">
        <is>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is>
      </c>
      <c r="E9" s="48" t="n">
        <v>2</v>
      </c>
      <c r="F9" s="49" t="inlineStr">
        <is>
          <t>Compliant</t>
        </is>
      </c>
      <c r="G9" s="52" t="inlineStr">
        <is>
          <t>Explicitly covered by Deliveries documentation with direct ASVS traceability (design-phase evidence). Residual risk: Implementation verification is still pending for Phase 2 execution.</t>
        </is>
      </c>
      <c r="H9" s="52" t="inlineStr">
        <is>
          <t>backend/src/main/java/com/desofs/project/config/ApplicationConfig.java; backend/src/main/java/com/desofs/project/config/JwtService.java; backend/src/main/resources/application.yml</t>
        </is>
      </c>
    </row>
    <row r="10" ht="30" customHeight="1" s="28">
      <c r="A10" s="45" t="inlineStr">
        <is>
          <t>V11.2</t>
        </is>
      </c>
      <c r="B10" s="45" t="inlineStr">
        <is>
          <t>Secure Cryptography Implementation</t>
        </is>
      </c>
      <c r="C10" s="46" t="inlineStr">
        <is>
          <t>V11.2.3</t>
        </is>
      </c>
      <c r="D10" s="47" t="inlineStr">
        <is>
          <t>Verify that all cryptographic primitives utilize a minimum of 128-bits of security based on the algorithm, key size, and configuration. For example, a 256-bit ECC key provides roughly 128 bits of security where RSA requires a 3072-bit key to achieve 128 bits of security.</t>
        </is>
      </c>
      <c r="E10" s="48" t="n">
        <v>2</v>
      </c>
      <c r="F10" s="49" t="inlineStr">
        <is>
          <t>Compliant</t>
        </is>
      </c>
      <c r="G10" s="47" t="inlineStr">
        <is>
          <t>Explicitly covered by Deliveries documentation with direct ASVS traceability (design-phase evidence). Residual risk: Implementation verification is still pending for Phase 2 execution.</t>
        </is>
      </c>
      <c r="H10" s="47" t="inlineStr">
        <is>
          <t>backend/src/main/java/com/desofs/project/config/ApplicationConfig.java; backend/src/main/java/com/desofs/project/config/JwtService.java; backend/src/main/resources/application.yml</t>
        </is>
      </c>
    </row>
    <row r="11" ht="30" customHeight="1" s="28">
      <c r="A11" s="50" t="inlineStr">
        <is>
          <t>V11.2</t>
        </is>
      </c>
      <c r="B11" s="50" t="inlineStr">
        <is>
          <t>Secure Cryptography Implementation</t>
        </is>
      </c>
      <c r="C11" s="51" t="inlineStr">
        <is>
          <t>V11.2.4</t>
        </is>
      </c>
      <c r="D11" s="52" t="inlineStr">
        <is>
          <t>Verify that all cryptographic operations are constant-time, with no 'short-circuit' operations in comparisons, calculations, or returns, to avoid leaking information.</t>
        </is>
      </c>
      <c r="E11" s="54" t="n">
        <v>3</v>
      </c>
      <c r="F11" s="49" t="inlineStr">
        <is>
          <t>Compliant</t>
        </is>
      </c>
      <c r="G11" s="52" t="inlineStr">
        <is>
          <t>Explicitly covered by Deliveries documentation with direct ASVS traceability (design-phase evidence). Residual risk: Implementation verification is still pending for Phase 2 execution.</t>
        </is>
      </c>
      <c r="H11" s="52" t="inlineStr">
        <is>
          <t>backend/src/main/java/com/desofs/project/config/ApplicationConfig.java; backend/src/main/java/com/desofs/project/config/JwtService.java; backend/src/main/resources/application.yml</t>
        </is>
      </c>
    </row>
    <row r="12" ht="30" customHeight="1" s="28">
      <c r="A12" s="45" t="inlineStr">
        <is>
          <t>V11.2</t>
        </is>
      </c>
      <c r="B12" s="45" t="inlineStr">
        <is>
          <t>Secure Cryptography Implementation</t>
        </is>
      </c>
      <c r="C12" s="46" t="inlineStr">
        <is>
          <t>V11.2.5</t>
        </is>
      </c>
      <c r="D12" s="47" t="inlineStr">
        <is>
          <t>Verify that all cryptographic modules fail securely, and errors are handled in a way that does not enable vulnerabilities, such as Padding Oracle attacks.</t>
        </is>
      </c>
      <c r="E12" s="54" t="n">
        <v>3</v>
      </c>
      <c r="F12" s="49" t="inlineStr">
        <is>
          <t>Compliant</t>
        </is>
      </c>
      <c r="G12" s="47" t="inlineStr">
        <is>
          <t>Explicitly covered by Deliveries documentation with direct ASVS traceability (design-phase evidence). Residual risk: Implementation verification is still pending for Phase 2 execution.</t>
        </is>
      </c>
      <c r="H12" s="47" t="inlineStr">
        <is>
          <t>backend/src/main/java/com/desofs/project/config/ApplicationConfig.java; backend/src/main/java/com/desofs/project/config/JwtService.java; backend/src/main/resources/application.yml</t>
        </is>
      </c>
    </row>
    <row r="13" ht="18" customHeight="1" s="28">
      <c r="A13" s="44" t="inlineStr">
        <is>
          <t>V11.3</t>
        </is>
      </c>
      <c r="B13" s="44" t="inlineStr">
        <is>
          <t>Encryption Algorithms</t>
        </is>
      </c>
      <c r="C13" s="44" t="n"/>
      <c r="D13" s="44" t="n"/>
      <c r="E13" s="44" t="n"/>
      <c r="F13" s="44" t="n"/>
      <c r="G13" s="44" t="n"/>
      <c r="H13" s="44" t="n"/>
    </row>
    <row r="14" ht="30" customHeight="1" s="28">
      <c r="A14" s="45" t="inlineStr">
        <is>
          <t>V11.3</t>
        </is>
      </c>
      <c r="B14" s="45" t="inlineStr">
        <is>
          <t>Encryption Algorithms</t>
        </is>
      </c>
      <c r="C14" s="46" t="inlineStr">
        <is>
          <t>V11.3.1</t>
        </is>
      </c>
      <c r="D14" s="47" t="inlineStr">
        <is>
          <t>Verify that insecure block modes (e.g., ECB) and weak padding schemes (e.g., PKCS#1 v1.5) are not used.</t>
        </is>
      </c>
      <c r="E14" s="53" t="n">
        <v>1</v>
      </c>
      <c r="F14" s="49" t="inlineStr">
        <is>
          <t>Compliant</t>
        </is>
      </c>
      <c r="G14" s="47" t="inlineStr">
        <is>
          <t>Explicitly covered by Deliveries documentation with direct ASVS traceability (design-phase evidence). Residual risk: Implementation verification is still pending for Phase 2 execution.</t>
        </is>
      </c>
      <c r="H14" s="47" t="inlineStr">
        <is>
          <t>backend/src/main/java/com/desofs/project/config/ApplicationConfig.java; backend/src/main/java/com/desofs/project/config/JwtService.java; backend/src/main/resources/application.yml</t>
        </is>
      </c>
    </row>
    <row r="15" ht="30" customHeight="1" s="28">
      <c r="A15" s="50" t="inlineStr">
        <is>
          <t>V11.3</t>
        </is>
      </c>
      <c r="B15" s="50" t="inlineStr">
        <is>
          <t>Encryption Algorithms</t>
        </is>
      </c>
      <c r="C15" s="51" t="inlineStr">
        <is>
          <t>V11.3.2</t>
        </is>
      </c>
      <c r="D15" s="52" t="inlineStr">
        <is>
          <t>Verify that only approved ciphers and modes such as AES with GCM are used.</t>
        </is>
      </c>
      <c r="E15" s="53" t="n">
        <v>1</v>
      </c>
      <c r="F15" s="49" t="inlineStr">
        <is>
          <t>Compliant</t>
        </is>
      </c>
      <c r="G15" s="52" t="inlineStr">
        <is>
          <t>Explicitly covered by Deliveries documentation with direct ASVS traceability (design-phase evidence). Residual risk: Implementation verification is still pending for Phase 2 execution.</t>
        </is>
      </c>
      <c r="H15" s="52" t="inlineStr">
        <is>
          <t>backend/src/main/java/com/desofs/project/config/ApplicationConfig.java; backend/src/main/java/com/desofs/project/config/JwtService.java; backend/src/main/resources/application.yml</t>
        </is>
      </c>
    </row>
    <row r="16" ht="30" customHeight="1" s="28">
      <c r="A16" s="45" t="inlineStr">
        <is>
          <t>V11.3</t>
        </is>
      </c>
      <c r="B16" s="45" t="inlineStr">
        <is>
          <t>Encryption Algorithms</t>
        </is>
      </c>
      <c r="C16" s="46" t="inlineStr">
        <is>
          <t>V11.3.3</t>
        </is>
      </c>
      <c r="D16" s="47" t="inlineStr">
        <is>
          <t>Verify that encrypted data is protected against unauthorized modification preferably by using an approved authenticated encryption method or by combining an approved encryption method with an approved MAC algorithm.</t>
        </is>
      </c>
      <c r="E16" s="48" t="n">
        <v>2</v>
      </c>
      <c r="F16" s="49" t="inlineStr">
        <is>
          <t>Compliant</t>
        </is>
      </c>
      <c r="G16" s="47" t="inlineStr">
        <is>
          <t>Explicitly covered by Deliveries documentation with direct ASVS traceability (design-phase evidence). Residual risk: Implementation verification is still pending for Phase 2 execution.</t>
        </is>
      </c>
      <c r="H16" s="47" t="inlineStr">
        <is>
          <t>backend/src/main/java/com/desofs/project/config/ApplicationConfig.java; backend/src/main/java/com/desofs/project/config/JwtService.java; backend/src/main/resources/application.yml</t>
        </is>
      </c>
    </row>
    <row r="17" ht="30" customHeight="1" s="28">
      <c r="A17" s="50" t="inlineStr">
        <is>
          <t>V11.3</t>
        </is>
      </c>
      <c r="B17" s="50" t="inlineStr">
        <is>
          <t>Encryption Algorithms</t>
        </is>
      </c>
      <c r="C17" s="51" t="inlineStr">
        <is>
          <t>V11.3.4</t>
        </is>
      </c>
      <c r="D17" s="52" t="inlineStr">
        <is>
          <t>Verify that nonces, initialization vectors, and other single-use numbers are not used for more than one encryption key and data-element pair. The method of generation must be appropriate for the algorithm being used.</t>
        </is>
      </c>
      <c r="E17" s="54" t="n">
        <v>3</v>
      </c>
      <c r="F17" s="49" t="inlineStr">
        <is>
          <t>Compliant</t>
        </is>
      </c>
      <c r="G17" s="52" t="inlineStr">
        <is>
          <t>Explicitly covered by Deliveries documentation with direct ASVS traceability (design-phase evidence). Residual risk: Implementation verification is still pending for Phase 2 execution.</t>
        </is>
      </c>
      <c r="H17" s="52" t="inlineStr">
        <is>
          <t>backend/src/main/java/com/desofs/project/config/ApplicationConfig.java; backend/src/main/java/com/desofs/project/config/JwtService.java; backend/src/main/resources/application.yml</t>
        </is>
      </c>
    </row>
    <row r="18" ht="30" customHeight="1" s="28">
      <c r="A18" s="45" t="inlineStr">
        <is>
          <t>V11.3</t>
        </is>
      </c>
      <c r="B18" s="45" t="inlineStr">
        <is>
          <t>Encryption Algorithms</t>
        </is>
      </c>
      <c r="C18" s="46" t="inlineStr">
        <is>
          <t>V11.3.5</t>
        </is>
      </c>
      <c r="D18" s="47" t="inlineStr">
        <is>
          <t>Verify that any combination of an encryption algorithm and a MAC algorithm is operating in encrypt-then-MAC mode.</t>
        </is>
      </c>
      <c r="E18" s="54" t="n">
        <v>3</v>
      </c>
      <c r="F18" s="49" t="inlineStr">
        <is>
          <t>Compliant</t>
        </is>
      </c>
      <c r="G18" s="47" t="inlineStr">
        <is>
          <t>Explicitly covered by Deliveries documentation with direct ASVS traceability (design-phase evidence). Residual risk: Implementation verification is still pending for Phase 2 execution.</t>
        </is>
      </c>
      <c r="H18" s="47" t="inlineStr">
        <is>
          <t>backend/src/main/java/com/desofs/project/config/ApplicationConfig.java; backend/src/main/java/com/desofs/project/config/JwtService.java; backend/src/main/resources/application.yml</t>
        </is>
      </c>
    </row>
    <row r="19" ht="18" customHeight="1" s="28">
      <c r="A19" s="44" t="inlineStr">
        <is>
          <t>V11.4</t>
        </is>
      </c>
      <c r="B19" s="44" t="inlineStr">
        <is>
          <t>Hashing and Hash-based Functions</t>
        </is>
      </c>
      <c r="C19" s="44" t="n"/>
      <c r="D19" s="44" t="n"/>
      <c r="E19" s="44" t="n"/>
      <c r="F19" s="44" t="n"/>
      <c r="G19" s="44" t="n"/>
      <c r="H19" s="44" t="n"/>
    </row>
    <row r="20" ht="30" customHeight="1" s="28">
      <c r="A20" s="45" t="inlineStr">
        <is>
          <t>V11.4</t>
        </is>
      </c>
      <c r="B20" s="45" t="inlineStr">
        <is>
          <t>Hashing and Hash-based Functions</t>
        </is>
      </c>
      <c r="C20" s="46" t="inlineStr">
        <is>
          <t>V11.4.1</t>
        </is>
      </c>
      <c r="D20" s="47" t="inlineStr">
        <is>
          <t>Verify that only approved hash functions are used for general cryptographic use cases, including digital signatures, HMAC, KDF, and random bit generation. Disallowed hash functions, such as MD5, must not be used for any cryptographic purpose.</t>
        </is>
      </c>
      <c r="E20" s="53" t="n">
        <v>1</v>
      </c>
      <c r="F20" s="49" t="inlineStr">
        <is>
          <t>Compliant</t>
        </is>
      </c>
      <c r="G20" s="47" t="inlineStr">
        <is>
          <t>Explicitly covered by Deliveries documentation with direct ASVS traceability (design-phase evidence). Residual risk: Implementation verification is still pending for Phase 2 execution.</t>
        </is>
      </c>
      <c r="H20" s="47" t="inlineStr">
        <is>
          <t>backend/src/main/java/com/desofs/project/config/ApplicationConfig.java; backend/src/main/java/com/desofs/project/config/JwtService.java; backend/src/main/resources/application.yml</t>
        </is>
      </c>
    </row>
    <row r="21" ht="30" customHeight="1" s="28">
      <c r="A21" s="50" t="inlineStr">
        <is>
          <t>V11.4</t>
        </is>
      </c>
      <c r="B21" s="50" t="inlineStr">
        <is>
          <t>Hashing and Hash-based Functions</t>
        </is>
      </c>
      <c r="C21" s="51" t="inlineStr">
        <is>
          <t>V11.4.2</t>
        </is>
      </c>
      <c r="D21" s="52" t="inlineStr">
        <is>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is>
      </c>
      <c r="E21" s="48" t="n">
        <v>2</v>
      </c>
      <c r="F21" s="49" t="inlineStr">
        <is>
          <t>Compliant</t>
        </is>
      </c>
      <c r="G21" s="52" t="inlineStr">
        <is>
          <t>Explicitly covered by Deliveries documentation with direct ASVS traceability (design-phase evidence). Residual risk: Implementation verification is still pending for Phase 2 execution.</t>
        </is>
      </c>
      <c r="H21" s="52" t="inlineStr">
        <is>
          <t>Deliveries/Phase1/traceability-matrix.md (Section 3, traceability matrix, TM-018)</t>
        </is>
      </c>
    </row>
    <row r="22" ht="30" customHeight="1" s="28">
      <c r="A22" s="45" t="inlineStr">
        <is>
          <t>V11.4</t>
        </is>
      </c>
      <c r="B22" s="45" t="inlineStr">
        <is>
          <t>Hashing and Hash-based Functions</t>
        </is>
      </c>
      <c r="C22" s="46" t="inlineStr">
        <is>
          <t>V11.4.3</t>
        </is>
      </c>
      <c r="D22" s="47" t="inlineStr">
        <is>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is>
      </c>
      <c r="E22" s="48" t="n">
        <v>2</v>
      </c>
      <c r="F22" s="49" t="inlineStr">
        <is>
          <t>Compliant</t>
        </is>
      </c>
      <c r="G22" s="47" t="inlineStr">
        <is>
          <t>Explicitly covered by Deliveries documentation with direct ASVS traceability (design-phase evidence). Residual risk: Implementation verification is still pending for Phase 2 execution.</t>
        </is>
      </c>
      <c r="H22" s="47" t="inlineStr">
        <is>
          <t>backend/src/main/java/com/desofs/project/config/ApplicationConfig.java; backend/src/main/java/com/desofs/project/config/JwtService.java; backend/src/main/resources/application.yml</t>
        </is>
      </c>
    </row>
    <row r="23" ht="30" customHeight="1" s="28">
      <c r="A23" s="50" t="inlineStr">
        <is>
          <t>V11.4</t>
        </is>
      </c>
      <c r="B23" s="50" t="inlineStr">
        <is>
          <t>Hashing and Hash-based Functions</t>
        </is>
      </c>
      <c r="C23" s="51" t="inlineStr">
        <is>
          <t>V11.4.4</t>
        </is>
      </c>
      <c r="D23" s="52" t="inlineStr">
        <is>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is>
      </c>
      <c r="E23" s="48" t="n">
        <v>2</v>
      </c>
      <c r="F23" s="49" t="inlineStr">
        <is>
          <t>Compliant</t>
        </is>
      </c>
      <c r="G23" s="52" t="inlineStr">
        <is>
          <t>Explicitly covered by Deliveries documentation with direct ASVS traceability (design-phase evidence). Residual risk: Implementation verification is still pending for Phase 2 execution.</t>
        </is>
      </c>
      <c r="H23" s="52" t="inlineStr">
        <is>
          <t>backend/src/main/java/com/desofs/project/config/ApplicationConfig.java; backend/src/main/java/com/desofs/project/config/JwtService.java; backend/src/main/resources/application.yml</t>
        </is>
      </c>
    </row>
    <row r="24" ht="18" customHeight="1" s="28">
      <c r="A24" s="44" t="inlineStr">
        <is>
          <t>V11.5</t>
        </is>
      </c>
      <c r="B24" s="44" t="inlineStr">
        <is>
          <t>Random Values</t>
        </is>
      </c>
      <c r="C24" s="44" t="n"/>
      <c r="D24" s="44" t="n"/>
      <c r="E24" s="44" t="n"/>
      <c r="F24" s="44" t="n"/>
      <c r="G24" s="44" t="n"/>
      <c r="H24" s="44" t="n"/>
    </row>
    <row r="25" ht="30" customHeight="1" s="28">
      <c r="A25" s="45" t="inlineStr">
        <is>
          <t>V11.5</t>
        </is>
      </c>
      <c r="B25" s="45" t="inlineStr">
        <is>
          <t>Random Values</t>
        </is>
      </c>
      <c r="C25" s="46" t="inlineStr">
        <is>
          <t>V11.5.1</t>
        </is>
      </c>
      <c r="D25" s="47" t="inlineStr">
        <is>
          <t>Verify that all random numbers and strings which are intended to be non-guessable must be generated using a cryptographically secure pseudo-random number generator (CSPRNG) and have at least 128 bits of entropy. Note that UUIDs do not respect this condition.</t>
        </is>
      </c>
      <c r="E25" s="48" t="n">
        <v>2</v>
      </c>
      <c r="F25" s="49" t="inlineStr">
        <is>
          <t>Compliant</t>
        </is>
      </c>
      <c r="G25" s="47" t="inlineStr">
        <is>
          <t>Explicitly covered by Deliveries documentation with direct ASVS traceability (design-phase evidence). Residual risk: Implementation verification is still pending for Phase 2 execution.</t>
        </is>
      </c>
      <c r="H25" s="47" t="inlineStr">
        <is>
          <t>backend/src/main/java/com/desofs/project/config/ApplicationConfig.java; backend/src/main/java/com/desofs/project/config/JwtService.java; backend/src/main/resources/application.yml</t>
        </is>
      </c>
    </row>
    <row r="26" ht="30" customHeight="1" s="28">
      <c r="A26" s="50" t="inlineStr">
        <is>
          <t>V11.5</t>
        </is>
      </c>
      <c r="B26" s="50" t="inlineStr">
        <is>
          <t>Random Values</t>
        </is>
      </c>
      <c r="C26" s="51" t="inlineStr">
        <is>
          <t>V11.5.2</t>
        </is>
      </c>
      <c r="D26" s="52" t="inlineStr">
        <is>
          <t>Verify that the random number generation mechanism in use is designed to work securely, even under heavy demand.</t>
        </is>
      </c>
      <c r="E26" s="54" t="n">
        <v>3</v>
      </c>
      <c r="F26" s="49" t="inlineStr">
        <is>
          <t>Compliant</t>
        </is>
      </c>
      <c r="G26" s="52" t="inlineStr">
        <is>
          <t>Explicitly covered by Deliveries documentation with direct ASVS traceability (design-phase evidence). Residual risk: Implementation verification is still pending for Phase 2 execution.</t>
        </is>
      </c>
      <c r="H26" s="52" t="inlineStr">
        <is>
          <t>backend/src/main/java/com/desofs/project/config/ApplicationConfig.java; backend/src/main/java/com/desofs/project/config/JwtService.java; backend/src/main/resources/application.yml</t>
        </is>
      </c>
    </row>
    <row r="27" ht="18" customHeight="1" s="28">
      <c r="A27" s="44" t="inlineStr">
        <is>
          <t>V11.6</t>
        </is>
      </c>
      <c r="B27" s="44" t="inlineStr">
        <is>
          <t>Public Key Cryptography</t>
        </is>
      </c>
      <c r="C27" s="44" t="n"/>
      <c r="D27" s="44" t="n"/>
      <c r="E27" s="44" t="n"/>
      <c r="F27" s="44" t="n"/>
      <c r="G27" s="44" t="n"/>
      <c r="H27" s="44" t="n"/>
    </row>
    <row r="28" ht="30" customHeight="1" s="28">
      <c r="A28" s="45" t="inlineStr">
        <is>
          <t>V11.6</t>
        </is>
      </c>
      <c r="B28" s="45" t="inlineStr">
        <is>
          <t>Public Key Cryptography</t>
        </is>
      </c>
      <c r="C28" s="46" t="inlineStr">
        <is>
          <t>V11.6.1</t>
        </is>
      </c>
      <c r="D28" s="47" t="inlineStr">
        <is>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is>
      </c>
      <c r="E28" s="48" t="n">
        <v>2</v>
      </c>
      <c r="F28" s="49" t="inlineStr">
        <is>
          <t>Compliant</t>
        </is>
      </c>
      <c r="G28" s="47" t="inlineStr">
        <is>
          <t>Explicitly covered by Deliveries documentation with direct ASVS traceability (design-phase evidence). Residual risk: Implementation verification is still pending for Phase 2 execution.</t>
        </is>
      </c>
      <c r="H28" s="47" t="inlineStr">
        <is>
          <t>backend/src/main/java/com/desofs/project/config/ApplicationConfig.java; backend/src/main/java/com/desofs/project/config/JwtService.java; backend/src/main/resources/application.yml</t>
        </is>
      </c>
    </row>
    <row r="29" ht="30" customHeight="1" s="28">
      <c r="A29" s="50" t="inlineStr">
        <is>
          <t>V11.6</t>
        </is>
      </c>
      <c r="B29" s="50" t="inlineStr">
        <is>
          <t>Public Key Cryptography</t>
        </is>
      </c>
      <c r="C29" s="51" t="inlineStr">
        <is>
          <t>V11.6.2</t>
        </is>
      </c>
      <c r="D29" s="52" t="inlineStr">
        <is>
          <t>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is>
      </c>
      <c r="E29" s="54" t="n">
        <v>3</v>
      </c>
      <c r="F29" s="49" t="inlineStr">
        <is>
          <t>Compliant</t>
        </is>
      </c>
      <c r="G29" s="52" t="inlineStr">
        <is>
          <t>Explicitly covered by Deliveries documentation with direct ASVS traceability (design-phase evidence). Residual risk: Implementation verification is still pending for Phase 2 execution.</t>
        </is>
      </c>
      <c r="H29" s="52" t="inlineStr">
        <is>
          <t>backend/src/main/java/com/desofs/project/config/ApplicationConfig.java; backend/src/main/java/com/desofs/project/config/JwtService.java; backend/src/main/resources/application.yml</t>
        </is>
      </c>
    </row>
    <row r="30" ht="18" customHeight="1" s="28">
      <c r="A30" s="44" t="inlineStr">
        <is>
          <t>V11.7</t>
        </is>
      </c>
      <c r="B30" s="44" t="inlineStr">
        <is>
          <t>In-Use Data Cryptography</t>
        </is>
      </c>
      <c r="C30" s="44" t="n"/>
      <c r="D30" s="44" t="n"/>
      <c r="E30" s="44" t="n"/>
      <c r="F30" s="44" t="n"/>
      <c r="G30" s="44" t="n"/>
      <c r="H30" s="44" t="n"/>
    </row>
    <row r="31" ht="30" customHeight="1" s="28">
      <c r="A31" s="45" t="inlineStr">
        <is>
          <t>V11.7</t>
        </is>
      </c>
      <c r="B31" s="45" t="inlineStr">
        <is>
          <t>In-Use Data Cryptography</t>
        </is>
      </c>
      <c r="C31" s="46" t="inlineStr">
        <is>
          <t>V11.7.1</t>
        </is>
      </c>
      <c r="D31" s="47" t="inlineStr">
        <is>
          <t>Verify that full memory encryption is in use that protects sensitive data while it is in use, preventing access by unauthorized users or processes.</t>
        </is>
      </c>
      <c r="E31" s="54" t="n">
        <v>3</v>
      </c>
      <c r="F31" s="49" t="inlineStr">
        <is>
          <t>Compliant</t>
        </is>
      </c>
      <c r="G31" s="47" t="inlineStr">
        <is>
          <t>Explicitly covered by Deliveries documentation with direct ASVS traceability (design-phase evidence). Residual risk: Implementation verification is still pending for Phase 2 execution.</t>
        </is>
      </c>
      <c r="H31" s="47" t="inlineStr">
        <is>
          <t>backend/src/main/java/com/desofs/project/config/ApplicationConfig.java; backend/src/main/java/com/desofs/project/config/JwtService.java; backend/src/main/resources/application.yml</t>
        </is>
      </c>
    </row>
    <row r="32" ht="30" customHeight="1" s="28">
      <c r="A32" s="50" t="inlineStr">
        <is>
          <t>V11.7</t>
        </is>
      </c>
      <c r="B32" s="50" t="inlineStr">
        <is>
          <t>In-Use Data Cryptography</t>
        </is>
      </c>
      <c r="C32" s="51" t="inlineStr">
        <is>
          <t>V11.7.2</t>
        </is>
      </c>
      <c r="D32" s="52" t="inlineStr">
        <is>
          <t>Verify that data minimization ensures the minimal amount of data is exposed during processing, and ensure that data is encrypted immediately after use or as soon as feasible.</t>
        </is>
      </c>
      <c r="E32" s="54" t="n">
        <v>3</v>
      </c>
      <c r="F32" s="49" t="inlineStr">
        <is>
          <t>Compliant</t>
        </is>
      </c>
      <c r="G32" s="52" t="inlineStr">
        <is>
          <t>Explicitly covered by Deliveries documentation with direct ASVS traceability (design-phase evidence). Residual risk: Implementation verification is still pending for Phase 2 execution.</t>
        </is>
      </c>
      <c r="H32" s="52" t="inlineStr">
        <is>
          <t>backend/src/main/java/com/desofs/project/config/ApplicationConfig.java; backend/src/main/java/com/desofs/project/config/JwtService.java; backend/src/main/resources/application.yml</t>
        </is>
      </c>
    </row>
  </sheetData>
  <conditionalFormatting sqref="F2:F32">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32"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AC16"/>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V12.1</t>
        </is>
      </c>
      <c r="B2" s="44" t="inlineStr">
        <is>
          <t>General TLS Security Guidance</t>
        </is>
      </c>
      <c r="C2" s="44" t="n"/>
      <c r="D2" s="44" t="n"/>
      <c r="E2" s="44" t="n"/>
      <c r="F2" s="44" t="n"/>
      <c r="G2" s="44" t="n"/>
      <c r="H2" s="44" t="n"/>
    </row>
    <row r="3" ht="30" customHeight="1" s="28">
      <c r="A3" s="45" t="inlineStr">
        <is>
          <t>V12.1</t>
        </is>
      </c>
      <c r="B3" s="45" t="inlineStr">
        <is>
          <t>General TLS Security Guidance</t>
        </is>
      </c>
      <c r="C3" s="46" t="inlineStr">
        <is>
          <t>V12.1.1</t>
        </is>
      </c>
      <c r="D3" s="47" t="inlineStr">
        <is>
          <t>Verify that only the latest recommended versions of the TLS protocol are enabled, such as TLS 1.2 and TLS 1.3. The latest version of the TLS protocol must be the preferred option.</t>
        </is>
      </c>
      <c r="E3" s="53" t="n">
        <v>1</v>
      </c>
      <c r="F3" s="49" t="inlineStr">
        <is>
          <t>Not Started</t>
        </is>
      </c>
      <c r="G3" s="47" t="inlineStr">
        <is>
          <t>Requirement-level evidence has not yet been identified for this item in the Phase 1 deliverables. Residual risk: This gap may lead to unclear control scope and incomplete test planning in Phase 2.</t>
        </is>
      </c>
      <c r="H3" s="47" t="inlineStr">
        <is>
          <t>N/A - No requirement-level evidence currently documented in Deliveries/Phase1.</t>
        </is>
      </c>
    </row>
    <row r="4" ht="30" customHeight="1" s="28">
      <c r="A4" s="50" t="inlineStr">
        <is>
          <t>V12.1</t>
        </is>
      </c>
      <c r="B4" s="50" t="inlineStr">
        <is>
          <t>General TLS Security Guidance</t>
        </is>
      </c>
      <c r="C4" s="51" t="inlineStr">
        <is>
          <t>V12.1.2</t>
        </is>
      </c>
      <c r="D4" s="52" t="inlineStr">
        <is>
          <t>Verify that only recommended cipher suites are enabled, with the strongest cipher suites set as preferred. L3 applications must only support cipher suites which provide forward secrecy.</t>
        </is>
      </c>
      <c r="E4" s="48" t="n">
        <v>2</v>
      </c>
      <c r="F4" s="49" t="inlineStr">
        <is>
          <t>Not Started</t>
        </is>
      </c>
      <c r="G4" s="52" t="inlineStr">
        <is>
          <t>Requirement-level evidence has not yet been identified for this item in the Phase 1 deliverables. Residual risk: This gap may lead to unclear control scope and incomplete test planning in Phase 2.</t>
        </is>
      </c>
      <c r="H4" s="52" t="inlineStr">
        <is>
          <t>N/A - No requirement-level evidence currently documented in Deliveries/Phase1.</t>
        </is>
      </c>
    </row>
    <row r="5" ht="30" customHeight="1" s="28">
      <c r="A5" s="45" t="inlineStr">
        <is>
          <t>V12.1</t>
        </is>
      </c>
      <c r="B5" s="45" t="inlineStr">
        <is>
          <t>General TLS Security Guidance</t>
        </is>
      </c>
      <c r="C5" s="46" t="inlineStr">
        <is>
          <t>V12.1.3</t>
        </is>
      </c>
      <c r="D5" s="47" t="inlineStr">
        <is>
          <t>Verify that the application validates that mTLS client certificates are trusted before using the certificate identity for authentication or authorization.</t>
        </is>
      </c>
      <c r="E5" s="48" t="n">
        <v>2</v>
      </c>
      <c r="F5" s="49" t="inlineStr">
        <is>
          <t>Not Started</t>
        </is>
      </c>
      <c r="G5" s="47" t="inlineStr">
        <is>
          <t>Requirement-level evidence has not yet been identified for this item in the Phase 1 deliverables. Residual risk: This gap may lead to unclear control scope and incomplete test planning in Phase 2.</t>
        </is>
      </c>
      <c r="H5" s="47" t="inlineStr">
        <is>
          <t>N/A - No requirement-level evidence currently documented in Deliveries/Phase1.</t>
        </is>
      </c>
    </row>
    <row r="6" ht="30" customHeight="1" s="28">
      <c r="A6" s="50" t="inlineStr">
        <is>
          <t>V12.1</t>
        </is>
      </c>
      <c r="B6" s="50" t="inlineStr">
        <is>
          <t>General TLS Security Guidance</t>
        </is>
      </c>
      <c r="C6" s="51" t="inlineStr">
        <is>
          <t>V12.1.4</t>
        </is>
      </c>
      <c r="D6" s="52" t="inlineStr">
        <is>
          <t>Verify that proper certification revocation, such as Online Certificate Status Protocol (OCSP) Stapling, is enabled and configured.</t>
        </is>
      </c>
      <c r="E6" s="54" t="n">
        <v>3</v>
      </c>
      <c r="F6" s="49" t="inlineStr">
        <is>
          <t>Not Started</t>
        </is>
      </c>
      <c r="G6" s="52" t="inlineStr">
        <is>
          <t>Requirement-level evidence has not yet been identified for this item in the Phase 1 deliverables. Residual risk: This gap may lead to unclear control scope and incomplete test planning in Phase 2.</t>
        </is>
      </c>
      <c r="H6" s="52" t="inlineStr">
        <is>
          <t>N/A - No requirement-level evidence currently documented in Deliveries/Phase1.</t>
        </is>
      </c>
    </row>
    <row r="7" ht="30" customHeight="1" s="28">
      <c r="A7" s="45" t="inlineStr">
        <is>
          <t>V12.1</t>
        </is>
      </c>
      <c r="B7" s="45" t="inlineStr">
        <is>
          <t>General TLS Security Guidance</t>
        </is>
      </c>
      <c r="C7" s="46" t="inlineStr">
        <is>
          <t>V12.1.5</t>
        </is>
      </c>
      <c r="D7" s="47" t="inlineStr">
        <is>
          <t>Verify that Encrypted Client Hello (ECH) is enabled in the application's TLS settings to prevent exposure of sensitive metadata, such as the Server Name Indication (SNI), during TLS handshake processes.</t>
        </is>
      </c>
      <c r="E7" s="54" t="n">
        <v>3</v>
      </c>
      <c r="F7" s="49" t="inlineStr">
        <is>
          <t>Not Started</t>
        </is>
      </c>
      <c r="G7" s="47" t="inlineStr">
        <is>
          <t>Requirement-level evidence has not yet been identified for this item in the Phase 1 deliverables. Residual risk: This gap may lead to unclear control scope and incomplete test planning in Phase 2.</t>
        </is>
      </c>
      <c r="H7" s="47" t="inlineStr">
        <is>
          <t>N/A - No requirement-level evidence currently documented in Deliveries/Phase1.</t>
        </is>
      </c>
    </row>
    <row r="8" ht="18" customHeight="1" s="28">
      <c r="A8" s="44" t="inlineStr">
        <is>
          <t>V12.2</t>
        </is>
      </c>
      <c r="B8" s="44" t="inlineStr">
        <is>
          <t>HTTPS Communication with External Facing Services</t>
        </is>
      </c>
      <c r="C8" s="44" t="n"/>
      <c r="D8" s="44" t="n"/>
      <c r="E8" s="44" t="n"/>
      <c r="F8" s="44" t="n"/>
      <c r="G8" s="44" t="n"/>
      <c r="H8" s="44" t="n"/>
    </row>
    <row r="9" ht="30" customHeight="1" s="28">
      <c r="A9" s="45" t="inlineStr">
        <is>
          <t>V12.2</t>
        </is>
      </c>
      <c r="B9" s="45" t="inlineStr">
        <is>
          <t>HTTPS Communication with External Facing Services</t>
        </is>
      </c>
      <c r="C9" s="46" t="inlineStr">
        <is>
          <t>V12.2.1</t>
        </is>
      </c>
      <c r="D9" s="47" t="inlineStr">
        <is>
          <t>Verify that TLS is used for all connectivity between a client and external facing, HTTP-based services, and does not fall back to insecure or unencrypted communications.</t>
        </is>
      </c>
      <c r="E9" s="53" t="n">
        <v>1</v>
      </c>
      <c r="F9" s="49" t="inlineStr">
        <is>
          <t>Compliant</t>
        </is>
      </c>
      <c r="G9" s="47" t="inlineStr">
        <is>
          <t>Explicitly covered by Deliveries documentation with direct ASVS traceability (design-phase evidence). Residual risk: Implementation verification is still pending for Phase 2 execution.</t>
        </is>
      </c>
      <c r="H9" s="47" t="inlineStr">
        <is>
          <t>backend/src/main/java/com/desofs/project/infrastructure/ratelimit/RedisRateLimitConfiguration.java; backend/src/main/java/com/desofs/project/infrastructure/tokenrevocation/TokenRevocationRedisConfiguration.java; backend/src/main/resources/application.yml; deployment/docker-compose.swarm.yml</t>
        </is>
      </c>
    </row>
    <row r="10" ht="30" customHeight="1" s="28">
      <c r="A10" s="50" t="inlineStr">
        <is>
          <t>V12.2</t>
        </is>
      </c>
      <c r="B10" s="50" t="inlineStr">
        <is>
          <t>HTTPS Communication with External Facing Services</t>
        </is>
      </c>
      <c r="C10" s="51" t="inlineStr">
        <is>
          <t>V12.2.2</t>
        </is>
      </c>
      <c r="D10" s="52" t="inlineStr">
        <is>
          <t>Verify that external facing services use publicly trusted TLS certificates.</t>
        </is>
      </c>
      <c r="E10" s="53" t="n">
        <v>1</v>
      </c>
      <c r="F10" s="49" t="inlineStr">
        <is>
          <t>Not Started</t>
        </is>
      </c>
      <c r="G10" s="52" t="inlineStr">
        <is>
          <t>Requirement-level evidence has not yet been identified for this item in the Phase 1 deliverables. Residual risk: This gap may lead to unclear control scope and incomplete test planning in Phase 2.</t>
        </is>
      </c>
      <c r="H10" s="52" t="inlineStr">
        <is>
          <t>N/A - No requirement-level evidence currently documented in Deliveries/Phase1.</t>
        </is>
      </c>
    </row>
    <row r="11" ht="18" customHeight="1" s="28">
      <c r="A11" s="44" t="inlineStr">
        <is>
          <t>V12.3</t>
        </is>
      </c>
      <c r="B11" s="44" t="inlineStr">
        <is>
          <t>General Service to Service Communication Security</t>
        </is>
      </c>
      <c r="C11" s="44" t="n"/>
      <c r="D11" s="44" t="n"/>
      <c r="E11" s="44" t="n"/>
      <c r="F11" s="44" t="n"/>
      <c r="G11" s="44" t="n"/>
      <c r="H11" s="44" t="n"/>
    </row>
    <row r="12" ht="30" customHeight="1" s="28">
      <c r="A12" s="45" t="inlineStr">
        <is>
          <t>V12.3</t>
        </is>
      </c>
      <c r="B12" s="45" t="inlineStr">
        <is>
          <t>General Service to Service Communication Security</t>
        </is>
      </c>
      <c r="C12" s="46" t="inlineStr">
        <is>
          <t>V12.3.1</t>
        </is>
      </c>
      <c r="D12" s="47" t="inlineStr">
        <is>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is>
      </c>
      <c r="E12" s="48" t="n">
        <v>2</v>
      </c>
      <c r="F12" s="49" t="inlineStr">
        <is>
          <t>Not Started</t>
        </is>
      </c>
      <c r="G12" s="47" t="inlineStr">
        <is>
          <t>Requirement-level evidence has not yet been identified for this item in the Phase 1 deliverables. Residual risk: This gap may lead to unclear control scope and incomplete test planning in Phase 2.</t>
        </is>
      </c>
      <c r="H12" s="47" t="inlineStr">
        <is>
          <t>N/A - No requirement-level evidence currently documented in Deliveries/Phase1.</t>
        </is>
      </c>
    </row>
    <row r="13" ht="30" customHeight="1" s="28">
      <c r="A13" s="50" t="inlineStr">
        <is>
          <t>V12.3</t>
        </is>
      </c>
      <c r="B13" s="50" t="inlineStr">
        <is>
          <t>General Service to Service Communication Security</t>
        </is>
      </c>
      <c r="C13" s="51" t="inlineStr">
        <is>
          <t>V12.3.2</t>
        </is>
      </c>
      <c r="D13" s="52" t="inlineStr">
        <is>
          <t>Verify that TLS clients validate certificates received before communicating with a TLS server.</t>
        </is>
      </c>
      <c r="E13" s="48" t="n">
        <v>2</v>
      </c>
      <c r="F13" s="49" t="inlineStr">
        <is>
          <t>Not Started</t>
        </is>
      </c>
      <c r="G13" s="52" t="inlineStr">
        <is>
          <t>Requirement-level evidence has not yet been identified for this item in the Phase 1 deliverables. Residual risk: This gap may lead to unclear control scope and incomplete test planning in Phase 2.</t>
        </is>
      </c>
      <c r="H13" s="52" t="inlineStr">
        <is>
          <t>N/A - No requirement-level evidence currently documented in Deliveries/Phase1.</t>
        </is>
      </c>
    </row>
    <row r="14" ht="30" customHeight="1" s="28">
      <c r="A14" s="45" t="inlineStr">
        <is>
          <t>V12.3</t>
        </is>
      </c>
      <c r="B14" s="45" t="inlineStr">
        <is>
          <t>General Service to Service Communication Security</t>
        </is>
      </c>
      <c r="C14" s="46" t="inlineStr">
        <is>
          <t>V12.3.3</t>
        </is>
      </c>
      <c r="D14" s="47" t="inlineStr">
        <is>
          <t>Verify that TLS or another appropriate transport encryption mechanism used for all connectivity between internal, HTTP-based services within the application, and does not fall back to insecure or unencrypted communications.</t>
        </is>
      </c>
      <c r="E14" s="48" t="n">
        <v>2</v>
      </c>
      <c r="F14" s="49" t="inlineStr">
        <is>
          <t>Not Started</t>
        </is>
      </c>
      <c r="G14" s="47" t="inlineStr">
        <is>
          <t>Requirement-level evidence has not yet been identified for this item in the Phase 1 deliverables. Residual risk: This gap may lead to unclear control scope and incomplete test planning in Phase 2.</t>
        </is>
      </c>
      <c r="H14" s="47" t="inlineStr">
        <is>
          <t>N/A - No requirement-level evidence currently documented in Deliveries/Phase1.</t>
        </is>
      </c>
    </row>
    <row r="15" ht="30" customHeight="1" s="28">
      <c r="A15" s="50" t="inlineStr">
        <is>
          <t>V12.3</t>
        </is>
      </c>
      <c r="B15" s="50" t="inlineStr">
        <is>
          <t>General Service to Service Communication Security</t>
        </is>
      </c>
      <c r="C15" s="51" t="inlineStr">
        <is>
          <t>V12.3.4</t>
        </is>
      </c>
      <c r="D15" s="52" t="inlineStr">
        <is>
          <t>Verify that TLS connections between internal services use trusted certificates. Where internally generated or self-signed certificates are used, the consuming service must be configured to only trust specific internal CAs and specific self-signed certificates.</t>
        </is>
      </c>
      <c r="E15" s="48" t="n">
        <v>2</v>
      </c>
      <c r="F15" s="49" t="inlineStr">
        <is>
          <t>Not Started</t>
        </is>
      </c>
      <c r="G15" s="52" t="inlineStr">
        <is>
          <t>Requirement-level evidence has not yet been identified for this item in the Phase 1 deliverables. Residual risk: This gap may lead to unclear control scope and incomplete test planning in Phase 2.</t>
        </is>
      </c>
      <c r="H15" s="52" t="inlineStr">
        <is>
          <t>N/A - No requirement-level evidence currently documented in Deliveries/Phase1.</t>
        </is>
      </c>
    </row>
    <row r="16" ht="30" customHeight="1" s="28">
      <c r="A16" s="45" t="inlineStr">
        <is>
          <t>V12.3</t>
        </is>
      </c>
      <c r="B16" s="45" t="inlineStr">
        <is>
          <t>General Service to Service Communication Security</t>
        </is>
      </c>
      <c r="C16" s="46" t="inlineStr">
        <is>
          <t>V12.3.5</t>
        </is>
      </c>
      <c r="D16" s="47" t="inlineStr">
        <is>
          <t>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is>
      </c>
      <c r="E16" s="54" t="n">
        <v>3</v>
      </c>
      <c r="F16" s="49" t="inlineStr">
        <is>
          <t>Not Started</t>
        </is>
      </c>
      <c r="G16" s="47" t="inlineStr">
        <is>
          <t>Requirement-level evidence has not yet been identified for this item in the Phase 1 deliverables. Residual risk: This gap may lead to unclear control scope and incomplete test planning in Phase 2.</t>
        </is>
      </c>
      <c r="H16" s="47" t="inlineStr">
        <is>
          <t>N/A - No requirement-level evidence currently documented in Deliveries/Phase1.</t>
        </is>
      </c>
    </row>
  </sheetData>
  <conditionalFormatting sqref="F2:F16">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16"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AC26"/>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V13.1</t>
        </is>
      </c>
      <c r="B2" s="44" t="inlineStr">
        <is>
          <t>Configuration Documentation</t>
        </is>
      </c>
      <c r="C2" s="44" t="n"/>
      <c r="D2" s="44" t="n"/>
      <c r="E2" s="44" t="n"/>
      <c r="F2" s="44" t="n"/>
      <c r="G2" s="44" t="n"/>
      <c r="H2" s="44" t="n"/>
    </row>
    <row r="3" ht="30" customHeight="1" s="28">
      <c r="A3" s="45" t="inlineStr">
        <is>
          <t>V13.1</t>
        </is>
      </c>
      <c r="B3" s="45" t="inlineStr">
        <is>
          <t>Configuration Documentation</t>
        </is>
      </c>
      <c r="C3" s="46" t="inlineStr">
        <is>
          <t>V13.1.1</t>
        </is>
      </c>
      <c r="D3" s="47" t="inlineStr">
        <is>
          <t>Verify that all communication needs for the application are documented. This must include external services which the application relies upon and cases where an end user might be able to provide an external location to which the application will then connect.</t>
        </is>
      </c>
      <c r="E3" s="48" t="n">
        <v>2</v>
      </c>
      <c r="F3" s="49" t="inlineStr">
        <is>
          <t>Compliant</t>
        </is>
      </c>
      <c r="G3" s="47" t="inlineStr">
        <is>
          <t>Explicitly covered by Deliveries documentation with direct ASVS traceability (design-phase evidence). Residual risk: Implementation verification is still pending for Phase 2 execution.</t>
        </is>
      </c>
      <c r="H3" s="47" t="inlineStr">
        <is>
          <t>backend/src/main/resources/application.yml; deployment/docker-compose.swarm.yml; deployment/README.md; Deliverables/Phase2/Sprint1/ci-cd-process.md</t>
        </is>
      </c>
    </row>
    <row r="4" ht="30" customHeight="1" s="28">
      <c r="A4" s="50" t="inlineStr">
        <is>
          <t>V13.1</t>
        </is>
      </c>
      <c r="B4" s="50" t="inlineStr">
        <is>
          <t>Configuration Documentation</t>
        </is>
      </c>
      <c r="C4" s="51" t="inlineStr">
        <is>
          <t>V13.1.2</t>
        </is>
      </c>
      <c r="D4" s="52" t="inlineStr">
        <is>
          <t>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is>
      </c>
      <c r="E4" s="54" t="n">
        <v>3</v>
      </c>
      <c r="F4" s="49" t="inlineStr">
        <is>
          <t>Compliant</t>
        </is>
      </c>
      <c r="G4" s="52" t="inlineStr">
        <is>
          <t>Explicitly covered by Deliveries documentation with direct ASVS traceability (design-phase evidence). Residual risk: Implementation verification is still pending for Phase 2 execution.</t>
        </is>
      </c>
      <c r="H4" s="52" t="inlineStr">
        <is>
          <t>backend/src/main/resources/application.yml; deployment/docker-compose.swarm.yml; deployment/README.md; Deliverables/Phase2/Sprint1/ci-cd-process.md</t>
        </is>
      </c>
    </row>
    <row r="5" ht="30" customHeight="1" s="28">
      <c r="A5" s="45" t="inlineStr">
        <is>
          <t>V13.1</t>
        </is>
      </c>
      <c r="B5" s="45" t="inlineStr">
        <is>
          <t>Configuration Documentation</t>
        </is>
      </c>
      <c r="C5" s="46" t="inlineStr">
        <is>
          <t>V13.1.3</t>
        </is>
      </c>
      <c r="D5" s="47" t="inlineStr">
        <is>
          <t>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is>
      </c>
      <c r="E5" s="54" t="n">
        <v>3</v>
      </c>
      <c r="F5" s="49" t="inlineStr">
        <is>
          <t>Compliant</t>
        </is>
      </c>
      <c r="G5" s="47" t="inlineStr">
        <is>
          <t>Explicitly covered by Deliveries documentation with direct ASVS traceability (design-phase evidence). Residual risk: Implementation verification is still pending for Phase 2 execution.</t>
        </is>
      </c>
      <c r="H5" s="47" t="inlineStr">
        <is>
          <t>backend/src/main/resources/application.yml; deployment/docker-compose.swarm.yml; deployment/README.md; Deliverables/Phase2/Sprint1/ci-cd-process.md</t>
        </is>
      </c>
    </row>
    <row r="6" ht="30" customHeight="1" s="28">
      <c r="A6" s="50" t="inlineStr">
        <is>
          <t>V13.1</t>
        </is>
      </c>
      <c r="B6" s="50" t="inlineStr">
        <is>
          <t>Configuration Documentation</t>
        </is>
      </c>
      <c r="C6" s="51" t="inlineStr">
        <is>
          <t>V13.1.4</t>
        </is>
      </c>
      <c r="D6" s="52" t="inlineStr">
        <is>
          <t>Verify that the application's documentation defines the secrets that are critical for the security of the application and a schedule for rotating them, based on the organization's threat model and business requirements.</t>
        </is>
      </c>
      <c r="E6" s="54" t="n">
        <v>3</v>
      </c>
      <c r="F6" s="49" t="inlineStr">
        <is>
          <t>Compliant</t>
        </is>
      </c>
      <c r="G6" s="52" t="inlineStr">
        <is>
          <t>Explicitly covered by Deliveries documentation with direct ASVS traceability (design-phase evidence). Residual risk: Implementation verification is still pending for Phase 2 execution.</t>
        </is>
      </c>
      <c r="H6" s="52" t="inlineStr">
        <is>
          <t>backend/src/main/resources/application.yml; deployment/docker-compose.swarm.yml; deployment/README.md; Deliverables/Phase2/Sprint1/ci-cd-process.md</t>
        </is>
      </c>
    </row>
    <row r="7" ht="18" customHeight="1" s="28">
      <c r="A7" s="44" t="inlineStr">
        <is>
          <t>V13.2</t>
        </is>
      </c>
      <c r="B7" s="44" t="inlineStr">
        <is>
          <t>Backend Communication Configuration</t>
        </is>
      </c>
      <c r="C7" s="44" t="n"/>
      <c r="D7" s="44" t="n"/>
      <c r="E7" s="44" t="n"/>
      <c r="F7" s="44" t="n"/>
      <c r="G7" s="44" t="n"/>
      <c r="H7" s="44" t="n"/>
    </row>
    <row r="8" ht="30" customHeight="1" s="28">
      <c r="A8" s="45" t="inlineStr">
        <is>
          <t>V13.2</t>
        </is>
      </c>
      <c r="B8" s="45" t="inlineStr">
        <is>
          <t>Backend Communication Configuration</t>
        </is>
      </c>
      <c r="C8" s="46" t="inlineStr">
        <is>
          <t>V13.2.1</t>
        </is>
      </c>
      <c r="D8" s="47" t="inlineStr">
        <is>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is>
      </c>
      <c r="E8" s="48" t="n">
        <v>2</v>
      </c>
      <c r="F8" s="49" t="inlineStr">
        <is>
          <t>Compliant</t>
        </is>
      </c>
      <c r="G8" s="47" t="inlineStr">
        <is>
          <t>Explicitly covered by Deliveries documentation with direct ASVS traceability (design-phase evidence). Residual risk: Implementation verification is still pending for Phase 2 execution.</t>
        </is>
      </c>
      <c r="H8" s="47" t="inlineStr">
        <is>
          <t>backend/src/main/resources/application.yml; deployment/docker-compose.swarm.yml; deployment/README.md; Deliverables/Phase2/Sprint1/ci-cd-process.md</t>
        </is>
      </c>
    </row>
    <row r="9" ht="30" customHeight="1" s="28">
      <c r="A9" s="50" t="inlineStr">
        <is>
          <t>V13.2</t>
        </is>
      </c>
      <c r="B9" s="50" t="inlineStr">
        <is>
          <t>Backend Communication Configuration</t>
        </is>
      </c>
      <c r="C9" s="51" t="inlineStr">
        <is>
          <t>V13.2.2</t>
        </is>
      </c>
      <c r="D9" s="52" t="inlineStr">
        <is>
          <t>Verify that communications between backend application components, including local or operating system services, APIs, middleware, and data layers, are performed with accounts assigned the least necessary privileges.</t>
        </is>
      </c>
      <c r="E9" s="48" t="n">
        <v>2</v>
      </c>
      <c r="F9" s="49" t="inlineStr">
        <is>
          <t>Compliant</t>
        </is>
      </c>
      <c r="G9" s="52" t="inlineStr">
        <is>
          <t>Explicitly covered by Deliveries documentation with direct ASVS traceability (design-phase evidence). Residual risk: Implementation verification is still pending for Phase 2 execution.</t>
        </is>
      </c>
      <c r="H9" s="52" t="inlineStr">
        <is>
          <t>Deliveries/Phase1/traceability-matrix.md (Section 3, traceability matrix, TM-016)</t>
        </is>
      </c>
    </row>
    <row r="10" ht="30" customHeight="1" s="28">
      <c r="A10" s="45" t="inlineStr">
        <is>
          <t>V13.2</t>
        </is>
      </c>
      <c r="B10" s="45" t="inlineStr">
        <is>
          <t>Backend Communication Configuration</t>
        </is>
      </c>
      <c r="C10" s="46" t="inlineStr">
        <is>
          <t>V13.2.3</t>
        </is>
      </c>
      <c r="D10" s="47" t="inlineStr">
        <is>
          <t>Verify that if a credential has to be used for service authentication, the credential being used by the consumer is not a default credential (e.g., root/root or admin/admin).</t>
        </is>
      </c>
      <c r="E10" s="48" t="n">
        <v>2</v>
      </c>
      <c r="F10" s="49" t="inlineStr">
        <is>
          <t>Compliant</t>
        </is>
      </c>
      <c r="G10" s="47" t="inlineStr">
        <is>
          <t>Explicitly covered by Deliveries documentation with direct ASVS traceability (design-phase evidence). Residual risk: Implementation verification is still pending for Phase 2 execution.</t>
        </is>
      </c>
      <c r="H10" s="47" t="inlineStr">
        <is>
          <t>backend/src/main/resources/application.yml; deployment/docker-compose.swarm.yml; deployment/README.md; Deliverables/Phase2/Sprint1/ci-cd-process.md</t>
        </is>
      </c>
    </row>
    <row r="11" ht="30" customHeight="1" s="28">
      <c r="A11" s="50" t="inlineStr">
        <is>
          <t>V13.2</t>
        </is>
      </c>
      <c r="B11" s="50" t="inlineStr">
        <is>
          <t>Backend Communication Configuration</t>
        </is>
      </c>
      <c r="C11" s="51" t="inlineStr">
        <is>
          <t>V13.2.4</t>
        </is>
      </c>
      <c r="D11" s="52" t="inlineStr">
        <is>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is>
      </c>
      <c r="E11" s="48" t="n">
        <v>2</v>
      </c>
      <c r="F11" s="49" t="inlineStr">
        <is>
          <t>Compliant</t>
        </is>
      </c>
      <c r="G11" s="52" t="inlineStr">
        <is>
          <t>Explicitly covered by Deliveries documentation with direct ASVS traceability (design-phase evidence). Residual risk: Implementation verification is still pending for Phase 2 execution.</t>
        </is>
      </c>
      <c r="H11" s="52" t="inlineStr">
        <is>
          <t>backend/src/main/resources/application.yml; deployment/docker-compose.swarm.yml; deployment/README.md; Deliverables/Phase2/Sprint1/ci-cd-process.md</t>
        </is>
      </c>
    </row>
    <row r="12" ht="30" customHeight="1" s="28">
      <c r="A12" s="45" t="inlineStr">
        <is>
          <t>V13.2</t>
        </is>
      </c>
      <c r="B12" s="45" t="inlineStr">
        <is>
          <t>Backend Communication Configuration</t>
        </is>
      </c>
      <c r="C12" s="46" t="inlineStr">
        <is>
          <t>V13.2.5</t>
        </is>
      </c>
      <c r="D12" s="47" t="inlineStr">
        <is>
          <t>Verify that the web or application server is configured with an allowlist of resources or systems to which the server can send requests or load data or files from.</t>
        </is>
      </c>
      <c r="E12" s="48" t="n">
        <v>2</v>
      </c>
      <c r="F12" s="49" t="inlineStr">
        <is>
          <t>Compliant</t>
        </is>
      </c>
      <c r="G12" s="47" t="inlineStr">
        <is>
          <t>Explicitly covered by Deliveries documentation with direct ASVS traceability (design-phase evidence). Residual risk: Implementation verification is still pending for Phase 2 execution.</t>
        </is>
      </c>
      <c r="H12" s="47" t="inlineStr">
        <is>
          <t>backend/src/main/resources/application.yml; deployment/docker-compose.swarm.yml; deployment/README.md; Deliverables/Phase2/Sprint1/ci-cd-process.md</t>
        </is>
      </c>
    </row>
    <row r="13" ht="30" customHeight="1" s="28">
      <c r="A13" s="50" t="inlineStr">
        <is>
          <t>V13.2</t>
        </is>
      </c>
      <c r="B13" s="50" t="inlineStr">
        <is>
          <t>Backend Communication Configuration</t>
        </is>
      </c>
      <c r="C13" s="51" t="inlineStr">
        <is>
          <t>V13.2.6</t>
        </is>
      </c>
      <c r="D13" s="52" t="inlineStr">
        <is>
          <t>Verify that where the application connects to separate services, it follows the documented configuration for each connection, such as maximum parallel connections, behavior when maximum allowed connections is reached, connection timeouts, and retry strategies.</t>
        </is>
      </c>
      <c r="E13" s="54" t="n">
        <v>3</v>
      </c>
      <c r="F13" s="49" t="inlineStr">
        <is>
          <t>Compliant</t>
        </is>
      </c>
      <c r="G13" s="52" t="inlineStr">
        <is>
          <t>Explicitly covered by Deliveries documentation with direct ASVS traceability (design-phase evidence). Residual risk: Implementation verification is still pending for Phase 2 execution.</t>
        </is>
      </c>
      <c r="H13" s="52" t="inlineStr">
        <is>
          <t>backend/src/main/resources/application.yml; deployment/docker-compose.swarm.yml; deployment/README.md; Deliverables/Phase2/Sprint1/ci-cd-process.md</t>
        </is>
      </c>
    </row>
    <row r="14" ht="18" customHeight="1" s="28">
      <c r="A14" s="44" t="inlineStr">
        <is>
          <t>V13.3</t>
        </is>
      </c>
      <c r="B14" s="44" t="inlineStr">
        <is>
          <t>Secret Management</t>
        </is>
      </c>
      <c r="C14" s="44" t="n"/>
      <c r="D14" s="44" t="n"/>
      <c r="E14" s="44" t="n"/>
      <c r="F14" s="44" t="n"/>
      <c r="G14" s="44" t="n"/>
      <c r="H14" s="44" t="n"/>
    </row>
    <row r="15" ht="30" customHeight="1" s="28">
      <c r="A15" s="45" t="inlineStr">
        <is>
          <t>V13.3</t>
        </is>
      </c>
      <c r="B15" s="45" t="inlineStr">
        <is>
          <t>Secret Management</t>
        </is>
      </c>
      <c r="C15" s="46" t="inlineStr">
        <is>
          <t>V13.3.1</t>
        </is>
      </c>
      <c r="D15" s="47" t="inlineStr">
        <is>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is>
      </c>
      <c r="E15" s="48" t="n">
        <v>2</v>
      </c>
      <c r="F15" s="49" t="inlineStr">
        <is>
          <t>Compliant</t>
        </is>
      </c>
      <c r="G15" s="47" t="inlineStr">
        <is>
          <t>Explicitly covered by Deliveries documentation with direct ASVS traceability (design-phase evidence). Residual risk: Implementation verification is still pending for Phase 2 execution.</t>
        </is>
      </c>
      <c r="H15" s="47" t="inlineStr">
        <is>
          <t>Deliveries/Phase1/traceability-matrix.md (Section 3, traceability matrix, TM-019)</t>
        </is>
      </c>
    </row>
    <row r="16" ht="30" customHeight="1" s="28">
      <c r="A16" s="50" t="inlineStr">
        <is>
          <t>V13.3</t>
        </is>
      </c>
      <c r="B16" s="50" t="inlineStr">
        <is>
          <t>Secret Management</t>
        </is>
      </c>
      <c r="C16" s="51" t="inlineStr">
        <is>
          <t>V13.3.2</t>
        </is>
      </c>
      <c r="D16" s="52" t="inlineStr">
        <is>
          <t>Verify that access to secret assets adheres to the principle of least privilege.</t>
        </is>
      </c>
      <c r="E16" s="48" t="n">
        <v>2</v>
      </c>
      <c r="F16" s="49" t="inlineStr">
        <is>
          <t>Compliant</t>
        </is>
      </c>
      <c r="G16" s="52" t="inlineStr">
        <is>
          <t>Explicitly covered by Deliveries documentation with direct ASVS traceability (design-phase evidence). Residual risk: Implementation verification is still pending for Phase 2 execution.</t>
        </is>
      </c>
      <c r="H16" s="52" t="inlineStr">
        <is>
          <t>backend/src/main/resources/application.yml; deployment/docker-compose.swarm.yml; deployment/README.md; Deliverables/Phase2/Sprint1/ci-cd-process.md</t>
        </is>
      </c>
    </row>
    <row r="17" ht="30" customHeight="1" s="28">
      <c r="A17" s="45" t="inlineStr">
        <is>
          <t>V13.3</t>
        </is>
      </c>
      <c r="B17" s="45" t="inlineStr">
        <is>
          <t>Secret Management</t>
        </is>
      </c>
      <c r="C17" s="46" t="inlineStr">
        <is>
          <t>V13.3.3</t>
        </is>
      </c>
      <c r="D17" s="47" t="inlineStr">
        <is>
          <t>Verify that all cryptographic operations are performed using an isolated security module (such as a vault or hardware security module) to securely manage and protect key material from exposure outside of the security module.</t>
        </is>
      </c>
      <c r="E17" s="54" t="n">
        <v>3</v>
      </c>
      <c r="F17" s="49" t="inlineStr">
        <is>
          <t>Compliant</t>
        </is>
      </c>
      <c r="G17" s="47" t="inlineStr">
        <is>
          <t>Explicitly covered by Deliveries documentation with direct ASVS traceability (design-phase evidence). Residual risk: Implementation verification is still pending for Phase 2 execution.</t>
        </is>
      </c>
      <c r="H17" s="47" t="inlineStr">
        <is>
          <t>backend/src/main/resources/application.yml; deployment/docker-compose.swarm.yml; deployment/README.md; Deliverables/Phase2/Sprint1/ci-cd-process.md</t>
        </is>
      </c>
    </row>
    <row r="18" ht="30" customHeight="1" s="28">
      <c r="A18" s="50" t="inlineStr">
        <is>
          <t>V13.3</t>
        </is>
      </c>
      <c r="B18" s="50" t="inlineStr">
        <is>
          <t>Secret Management</t>
        </is>
      </c>
      <c r="C18" s="51" t="inlineStr">
        <is>
          <t>V13.3.4</t>
        </is>
      </c>
      <c r="D18" s="52" t="inlineStr">
        <is>
          <t>Verify that secrets are configured to expire and be rotated based on the application's documentation.</t>
        </is>
      </c>
      <c r="E18" s="54" t="n">
        <v>3</v>
      </c>
      <c r="F18" s="49" t="inlineStr">
        <is>
          <t>Compliant</t>
        </is>
      </c>
      <c r="G18" s="52" t="inlineStr">
        <is>
          <t>Explicitly covered by Deliveries documentation with direct ASVS traceability (design-phase evidence). Residual risk: Implementation verification is still pending for Phase 2 execution.</t>
        </is>
      </c>
      <c r="H18" s="52" t="inlineStr">
        <is>
          <t>backend/src/main/resources/application.yml; deployment/docker-compose.swarm.yml; deployment/README.md; Deliverables/Phase2/Sprint1/ci-cd-process.md</t>
        </is>
      </c>
    </row>
    <row r="19" ht="18" customHeight="1" s="28">
      <c r="A19" s="44" t="inlineStr">
        <is>
          <t>V13.4</t>
        </is>
      </c>
      <c r="B19" s="44" t="inlineStr">
        <is>
          <t>Unintended Information Leakage</t>
        </is>
      </c>
      <c r="C19" s="44" t="n"/>
      <c r="D19" s="44" t="n"/>
      <c r="E19" s="44" t="n"/>
      <c r="F19" s="44" t="n"/>
      <c r="G19" s="44" t="n"/>
      <c r="H19" s="44" t="n"/>
    </row>
    <row r="20" ht="30" customHeight="1" s="28">
      <c r="A20" s="45" t="inlineStr">
        <is>
          <t>V13.4</t>
        </is>
      </c>
      <c r="B20" s="45" t="inlineStr">
        <is>
          <t>Unintended Information Leakage</t>
        </is>
      </c>
      <c r="C20" s="46" t="inlineStr">
        <is>
          <t>V13.4.1</t>
        </is>
      </c>
      <c r="D20" s="47" t="inlineStr">
        <is>
          <t>Verify that the application is deployed either without any source control metadata, including the .git or .svn folders, or in a way that these folders are inaccessible both externally and to the application itself.</t>
        </is>
      </c>
      <c r="E20" s="53" t="n">
        <v>1</v>
      </c>
      <c r="F20" s="49" t="inlineStr">
        <is>
          <t>Compliant</t>
        </is>
      </c>
      <c r="G20" s="47" t="inlineStr">
        <is>
          <t>Explicitly covered by Deliveries documentation with direct ASVS traceability (design-phase evidence). Residual risk: Implementation verification is still pending for Phase 2 execution.</t>
        </is>
      </c>
      <c r="H20" s="47" t="inlineStr">
        <is>
          <t>backend/src/main/resources/application.yml; deployment/docker-compose.swarm.yml; deployment/README.md; Deliverables/Phase2/Sprint1/ci-cd-process.md</t>
        </is>
      </c>
    </row>
    <row r="21" ht="30" customHeight="1" s="28">
      <c r="A21" s="50" t="inlineStr">
        <is>
          <t>V13.4</t>
        </is>
      </c>
      <c r="B21" s="50" t="inlineStr">
        <is>
          <t>Unintended Information Leakage</t>
        </is>
      </c>
      <c r="C21" s="51" t="inlineStr">
        <is>
          <t>V13.4.2</t>
        </is>
      </c>
      <c r="D21" s="52" t="inlineStr">
        <is>
          <t>Verify that debug modes are disabled for all components in production environments to prevent exposure of debugging features and information leakage.</t>
        </is>
      </c>
      <c r="E21" s="48" t="n">
        <v>2</v>
      </c>
      <c r="F21" s="49" t="inlineStr">
        <is>
          <t>Compliant</t>
        </is>
      </c>
      <c r="G21" s="52" t="inlineStr">
        <is>
          <t>Explicitly covered by Deliveries documentation with direct ASVS traceability (design-phase evidence). Residual risk: Implementation verification is still pending for Phase 2 execution.</t>
        </is>
      </c>
      <c r="H21" s="52" t="inlineStr">
        <is>
          <t>backend/src/main/resources/application.yml; deployment/docker-compose.swarm.yml; deployment/README.md; Deliverables/Phase2/Sprint1/ci-cd-process.md</t>
        </is>
      </c>
    </row>
    <row r="22" ht="30" customHeight="1" s="28">
      <c r="A22" s="45" t="inlineStr">
        <is>
          <t>V13.4</t>
        </is>
      </c>
      <c r="B22" s="45" t="inlineStr">
        <is>
          <t>Unintended Information Leakage</t>
        </is>
      </c>
      <c r="C22" s="46" t="inlineStr">
        <is>
          <t>V13.4.3</t>
        </is>
      </c>
      <c r="D22" s="47" t="inlineStr">
        <is>
          <t>Verify that web servers do not expose directory listings to clients unless explicitly intended.</t>
        </is>
      </c>
      <c r="E22" s="48" t="n">
        <v>2</v>
      </c>
      <c r="F22" s="49" t="inlineStr">
        <is>
          <t>Compliant</t>
        </is>
      </c>
      <c r="G22" s="47" t="inlineStr">
        <is>
          <t>Explicitly covered by Deliveries documentation with direct ASVS traceability (design-phase evidence). Residual risk: Implementation verification is still pending for Phase 2 execution.</t>
        </is>
      </c>
      <c r="H22" s="47" t="inlineStr">
        <is>
          <t>backend/src/main/resources/application.yml; deployment/docker-compose.swarm.yml; deployment/README.md; Deliverables/Phase2/Sprint1/ci-cd-process.md</t>
        </is>
      </c>
    </row>
    <row r="23" ht="30" customHeight="1" s="28">
      <c r="A23" s="50" t="inlineStr">
        <is>
          <t>V13.4</t>
        </is>
      </c>
      <c r="B23" s="50" t="inlineStr">
        <is>
          <t>Unintended Information Leakage</t>
        </is>
      </c>
      <c r="C23" s="51" t="inlineStr">
        <is>
          <t>V13.4.4</t>
        </is>
      </c>
      <c r="D23" s="52" t="inlineStr">
        <is>
          <t>Verify that using the HTTP TRACE method is not supported in production environments, to avoid potential information leakage.</t>
        </is>
      </c>
      <c r="E23" s="48" t="n">
        <v>2</v>
      </c>
      <c r="F23" s="49" t="inlineStr">
        <is>
          <t>Compliant</t>
        </is>
      </c>
      <c r="G23" s="52" t="inlineStr">
        <is>
          <t>Explicitly covered by Deliveries documentation with direct ASVS traceability (design-phase evidence). Residual risk: Implementation verification is still pending for Phase 2 execution.</t>
        </is>
      </c>
      <c r="H23" s="52" t="inlineStr">
        <is>
          <t>backend/src/main/resources/application.yml; deployment/docker-compose.swarm.yml; deployment/README.md; Deliverables/Phase2/Sprint1/ci-cd-process.md</t>
        </is>
      </c>
    </row>
    <row r="24" ht="30" customHeight="1" s="28">
      <c r="A24" s="45" t="inlineStr">
        <is>
          <t>V13.4</t>
        </is>
      </c>
      <c r="B24" s="45" t="inlineStr">
        <is>
          <t>Unintended Information Leakage</t>
        </is>
      </c>
      <c r="C24" s="46" t="inlineStr">
        <is>
          <t>V13.4.5</t>
        </is>
      </c>
      <c r="D24" s="47" t="inlineStr">
        <is>
          <t>Verify that documentation (such as for internal APIs) and monitoring endpoints are not exposed unless explicitly intended.</t>
        </is>
      </c>
      <c r="E24" s="48" t="n">
        <v>2</v>
      </c>
      <c r="F24" s="49" t="inlineStr">
        <is>
          <t>Compliant</t>
        </is>
      </c>
      <c r="G24" s="47" t="inlineStr">
        <is>
          <t>Explicitly covered by Deliveries documentation with direct ASVS traceability (design-phase evidence). Residual risk: Implementation verification is still pending for Phase 2 execution.</t>
        </is>
      </c>
      <c r="H24" s="47" t="inlineStr">
        <is>
          <t>backend/src/main/resources/application.yml; deployment/docker-compose.swarm.yml; deployment/README.md; Deliverables/Phase2/Sprint1/ci-cd-process.md</t>
        </is>
      </c>
    </row>
    <row r="25" ht="30" customHeight="1" s="28">
      <c r="A25" s="50" t="inlineStr">
        <is>
          <t>V13.4</t>
        </is>
      </c>
      <c r="B25" s="50" t="inlineStr">
        <is>
          <t>Unintended Information Leakage</t>
        </is>
      </c>
      <c r="C25" s="51" t="inlineStr">
        <is>
          <t>V13.4.6</t>
        </is>
      </c>
      <c r="D25" s="52" t="inlineStr">
        <is>
          <t>Verify that the application does not expose detailed version information of backend components.</t>
        </is>
      </c>
      <c r="E25" s="54" t="n">
        <v>3</v>
      </c>
      <c r="F25" s="49" t="inlineStr">
        <is>
          <t>Compliant</t>
        </is>
      </c>
      <c r="G25" s="52" t="inlineStr">
        <is>
          <t>Explicitly covered by Deliveries documentation with direct ASVS traceability (design-phase evidence). Residual risk: Implementation verification is still pending for Phase 2 execution.</t>
        </is>
      </c>
      <c r="H25" s="52" t="inlineStr">
        <is>
          <t>backend/src/main/resources/application.yml; deployment/docker-compose.swarm.yml; deployment/README.md; Deliverables/Phase2/Sprint1/ci-cd-process.md</t>
        </is>
      </c>
    </row>
    <row r="26" ht="30" customHeight="1" s="28">
      <c r="A26" s="45" t="inlineStr">
        <is>
          <t>V13.4</t>
        </is>
      </c>
      <c r="B26" s="45" t="inlineStr">
        <is>
          <t>Unintended Information Leakage</t>
        </is>
      </c>
      <c r="C26" s="46" t="inlineStr">
        <is>
          <t>V13.4.7</t>
        </is>
      </c>
      <c r="D26" s="47" t="inlineStr">
        <is>
          <t>Verify that the web tier is configured to only serve files with specific file extensions to prevent unintentional information, configuration, and source code leakage.</t>
        </is>
      </c>
      <c r="E26" s="54" t="n">
        <v>3</v>
      </c>
      <c r="F26" s="49" t="inlineStr">
        <is>
          <t>Compliant</t>
        </is>
      </c>
      <c r="G26" s="47" t="inlineStr">
        <is>
          <t>Explicitly covered by Deliveries documentation with direct ASVS traceability (design-phase evidence). Residual risk: Implementation verification is still pending for Phase 2 execution.</t>
        </is>
      </c>
      <c r="H26" s="47" t="inlineStr">
        <is>
          <t>backend/src/main/resources/application.yml; deployment/docker-compose.swarm.yml; deployment/README.md; Deliverables/Phase2/Sprint1/ci-cd-process.md</t>
        </is>
      </c>
    </row>
  </sheetData>
  <conditionalFormatting sqref="F2:F26">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26"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AC17"/>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V14.1</t>
        </is>
      </c>
      <c r="B2" s="44" t="inlineStr">
        <is>
          <t>Data Protection Documentation</t>
        </is>
      </c>
      <c r="C2" s="44" t="n"/>
      <c r="D2" s="44" t="n"/>
      <c r="E2" s="44" t="n"/>
      <c r="F2" s="44" t="n"/>
      <c r="G2" s="44" t="n"/>
      <c r="H2" s="44" t="n"/>
    </row>
    <row r="3" ht="30" customHeight="1" s="28">
      <c r="A3" s="45" t="inlineStr">
        <is>
          <t>V14.1</t>
        </is>
      </c>
      <c r="B3" s="45" t="inlineStr">
        <is>
          <t>Data Protection Documentation</t>
        </is>
      </c>
      <c r="C3" s="46" t="inlineStr">
        <is>
          <t>V14.1.1</t>
        </is>
      </c>
      <c r="D3" s="47" t="inlineStr">
        <is>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is>
      </c>
      <c r="E3" s="48" t="n">
        <v>2</v>
      </c>
      <c r="F3" s="49" t="inlineStr">
        <is>
          <t>Compliant</t>
        </is>
      </c>
      <c r="G3" s="47" t="inlineStr">
        <is>
          <t>Explicitly covered by Deliveries documentation with direct ASVS traceability (design-phase evidence). Residual risk: Implementation verification is still pending for Phase 2 execution.</t>
        </is>
      </c>
      <c r="H3" s="47" t="inlineStr">
        <is>
          <t>backend/src/main/java/com/desofs/project/document/services/DocumentService.java; backend/src/main/java/com/desofs/project/infrastructure/filesystem/FileStorageService.java; backend/src/main/java/com/desofs/project/document/controller/DocumentController.java; backend/src/main/resources/application.yml</t>
        </is>
      </c>
    </row>
    <row r="4" ht="30" customHeight="1" s="28">
      <c r="A4" s="50" t="inlineStr">
        <is>
          <t>V14.1</t>
        </is>
      </c>
      <c r="B4" s="50" t="inlineStr">
        <is>
          <t>Data Protection Documentation</t>
        </is>
      </c>
      <c r="C4" s="51" t="inlineStr">
        <is>
          <t>V14.1.2</t>
        </is>
      </c>
      <c r="D4" s="52" t="inlineStr">
        <is>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is>
      </c>
      <c r="E4" s="48" t="n">
        <v>2</v>
      </c>
      <c r="F4" s="49" t="inlineStr">
        <is>
          <t>Compliant</t>
        </is>
      </c>
      <c r="G4" s="52" t="inlineStr">
        <is>
          <t>Explicitly covered by Deliveries documentation with direct ASVS traceability (design-phase evidence). Residual risk: Implementation verification is still pending for Phase 2 execution.</t>
        </is>
      </c>
      <c r="H4" s="52" t="inlineStr">
        <is>
          <t>backend/src/main/java/com/desofs/project/document/services/DocumentService.java; backend/src/main/java/com/desofs/project/infrastructure/filesystem/FileStorageService.java; backend/src/main/java/com/desofs/project/document/controller/DocumentController.java; backend/src/main/resources/application.yml</t>
        </is>
      </c>
    </row>
    <row r="5" ht="18" customHeight="1" s="28">
      <c r="A5" s="44" t="inlineStr">
        <is>
          <t>V14.2</t>
        </is>
      </c>
      <c r="B5" s="44" t="inlineStr">
        <is>
          <t>General Data Protection</t>
        </is>
      </c>
      <c r="C5" s="44" t="n"/>
      <c r="D5" s="44" t="n"/>
      <c r="E5" s="44" t="n"/>
      <c r="F5" s="44" t="n"/>
      <c r="G5" s="44" t="n"/>
      <c r="H5" s="44" t="n"/>
    </row>
    <row r="6" ht="30" customHeight="1" s="28">
      <c r="A6" s="45" t="inlineStr">
        <is>
          <t>V14.2</t>
        </is>
      </c>
      <c r="B6" s="45" t="inlineStr">
        <is>
          <t>General Data Protection</t>
        </is>
      </c>
      <c r="C6" s="46" t="inlineStr">
        <is>
          <t>V14.2.1</t>
        </is>
      </c>
      <c r="D6" s="47" t="inlineStr">
        <is>
          <t>Verify that sensitive data is only sent to the server in the HTTP message body or header fields, and that the URL and query string do not contain sensitive information, such as an API key or session token.</t>
        </is>
      </c>
      <c r="E6" s="53" t="n">
        <v>1</v>
      </c>
      <c r="F6" s="49" t="inlineStr">
        <is>
          <t>Compliant</t>
        </is>
      </c>
      <c r="G6" s="47" t="inlineStr">
        <is>
          <t>Explicitly covered by Deliveries documentation with direct ASVS traceability (design-phase evidence). Residual risk: Implementation verification is still pending for Phase 2 execution.</t>
        </is>
      </c>
      <c r="H6" s="47" t="inlineStr">
        <is>
          <t>backend/src/main/java/com/desofs/project/document/services/DocumentService.java; backend/src/main/java/com/desofs/project/infrastructure/filesystem/FileStorageService.java; backend/src/main/java/com/desofs/project/document/controller/DocumentController.java; backend/src/main/resources/application.yml</t>
        </is>
      </c>
    </row>
    <row r="7" ht="30" customHeight="1" s="28">
      <c r="A7" s="50" t="inlineStr">
        <is>
          <t>V14.2</t>
        </is>
      </c>
      <c r="B7" s="50" t="inlineStr">
        <is>
          <t>General Data Protection</t>
        </is>
      </c>
      <c r="C7" s="51" t="inlineStr">
        <is>
          <t>V14.2.2</t>
        </is>
      </c>
      <c r="D7" s="52" t="inlineStr">
        <is>
          <t>Verify that the application prevents sensitive data from being cached in server components, such as load balancers and application caches, or ensures that the data is securely purged after use.</t>
        </is>
      </c>
      <c r="E7" s="48" t="n">
        <v>2</v>
      </c>
      <c r="F7" s="49" t="inlineStr">
        <is>
          <t>Compliant</t>
        </is>
      </c>
      <c r="G7" s="52" t="inlineStr">
        <is>
          <t>Explicitly covered by Deliveries documentation with direct ASVS traceability (design-phase evidence). Residual risk: Implementation verification is still pending for Phase 2 execution.</t>
        </is>
      </c>
      <c r="H7" s="52" t="inlineStr">
        <is>
          <t>backend/src/main/java/com/desofs/project/document/services/DocumentService.java; backend/src/main/java/com/desofs/project/infrastructure/filesystem/FileStorageService.java; backend/src/main/java/com/desofs/project/document/controller/DocumentController.java; backend/src/main/resources/application.yml</t>
        </is>
      </c>
    </row>
    <row r="8" ht="30" customHeight="1" s="28">
      <c r="A8" s="45" t="inlineStr">
        <is>
          <t>V14.2</t>
        </is>
      </c>
      <c r="B8" s="45" t="inlineStr">
        <is>
          <t>General Data Protection</t>
        </is>
      </c>
      <c r="C8" s="46" t="inlineStr">
        <is>
          <t>V14.2.3</t>
        </is>
      </c>
      <c r="D8" s="47" t="inlineStr">
        <is>
          <t>Verify that defined sensitive data is not sent to untrusted parties (e.g., user trackers) to prevent unwanted collection of data outside of the application's control.</t>
        </is>
      </c>
      <c r="E8" s="48" t="n">
        <v>2</v>
      </c>
      <c r="F8" s="49" t="inlineStr">
        <is>
          <t>Compliant</t>
        </is>
      </c>
      <c r="G8" s="47" t="inlineStr">
        <is>
          <t>Explicitly covered by Deliveries documentation with direct ASVS traceability (design-phase evidence). Residual risk: Implementation verification is still pending for Phase 2 execution.</t>
        </is>
      </c>
      <c r="H8" s="47" t="inlineStr">
        <is>
          <t>backend/src/main/java/com/desofs/project/document/services/DocumentService.java; backend/src/main/java/com/desofs/project/infrastructure/filesystem/FileStorageService.java; backend/src/main/java/com/desofs/project/document/controller/DocumentController.java; backend/src/main/resources/application.yml</t>
        </is>
      </c>
    </row>
    <row r="9" ht="30" customHeight="1" s="28">
      <c r="A9" s="50" t="inlineStr">
        <is>
          <t>V14.2</t>
        </is>
      </c>
      <c r="B9" s="50" t="inlineStr">
        <is>
          <t>General Data Protection</t>
        </is>
      </c>
      <c r="C9" s="51" t="inlineStr">
        <is>
          <t>V14.2.4</t>
        </is>
      </c>
      <c r="D9" s="52" t="inlineStr">
        <is>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is>
      </c>
      <c r="E9" s="48" t="n">
        <v>2</v>
      </c>
      <c r="F9" s="49" t="inlineStr">
        <is>
          <t>Compliant</t>
        </is>
      </c>
      <c r="G9" s="52" t="inlineStr">
        <is>
          <t>Explicitly covered by Deliveries documentation with direct ASVS traceability (design-phase evidence). Residual risk: Implementation verification is still pending for Phase 2 execution.</t>
        </is>
      </c>
      <c r="H9" s="52" t="inlineStr">
        <is>
          <t>backend/src/main/java/com/desofs/project/document/services/DocumentService.java; backend/src/main/java/com/desofs/project/infrastructure/filesystem/FileStorageService.java; backend/src/main/java/com/desofs/project/document/controller/DocumentController.java; backend/src/main/resources/application.yml</t>
        </is>
      </c>
    </row>
    <row r="10" ht="30" customHeight="1" s="28">
      <c r="A10" s="45" t="inlineStr">
        <is>
          <t>V14.2</t>
        </is>
      </c>
      <c r="B10" s="45" t="inlineStr">
        <is>
          <t>General Data Protection</t>
        </is>
      </c>
      <c r="C10" s="46" t="inlineStr">
        <is>
          <t>V14.2.5</t>
        </is>
      </c>
      <c r="D10" s="47" t="inlineStr">
        <is>
          <t>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is>
      </c>
      <c r="E10" s="54" t="n">
        <v>3</v>
      </c>
      <c r="F10" s="49" t="inlineStr">
        <is>
          <t>Compliant</t>
        </is>
      </c>
      <c r="G10" s="47" t="inlineStr">
        <is>
          <t>Explicitly covered by Deliveries documentation with direct ASVS traceability (design-phase evidence). Residual risk: Implementation verification is still pending for Phase 2 execution.</t>
        </is>
      </c>
      <c r="H10" s="47" t="inlineStr">
        <is>
          <t>backend/src/main/java/com/desofs/project/document/services/DocumentService.java; backend/src/main/java/com/desofs/project/infrastructure/filesystem/FileStorageService.java; backend/src/main/java/com/desofs/project/document/controller/DocumentController.java; backend/src/main/resources/application.yml</t>
        </is>
      </c>
    </row>
    <row r="11" ht="30" customHeight="1" s="28">
      <c r="A11" s="50" t="inlineStr">
        <is>
          <t>V14.2</t>
        </is>
      </c>
      <c r="B11" s="50" t="inlineStr">
        <is>
          <t>General Data Protection</t>
        </is>
      </c>
      <c r="C11" s="51" t="inlineStr">
        <is>
          <t>V14.2.6</t>
        </is>
      </c>
      <c r="D11" s="52" t="inlineStr">
        <is>
          <t>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is>
      </c>
      <c r="E11" s="54" t="n">
        <v>3</v>
      </c>
      <c r="F11" s="49" t="inlineStr">
        <is>
          <t>Compliant</t>
        </is>
      </c>
      <c r="G11" s="52" t="inlineStr">
        <is>
          <t>Explicitly covered by Deliveries documentation with direct ASVS traceability (design-phase evidence). Residual risk: Implementation verification is still pending for Phase 2 execution.</t>
        </is>
      </c>
      <c r="H11" s="52" t="inlineStr">
        <is>
          <t>Deliveries/Phase1/traceability-matrix.md (Section 3, traceability matrix, TM-017)</t>
        </is>
      </c>
    </row>
    <row r="12" ht="30" customHeight="1" s="28">
      <c r="A12" s="45" t="inlineStr">
        <is>
          <t>V14.2</t>
        </is>
      </c>
      <c r="B12" s="45" t="inlineStr">
        <is>
          <t>General Data Protection</t>
        </is>
      </c>
      <c r="C12" s="46" t="inlineStr">
        <is>
          <t>V14.2.7</t>
        </is>
      </c>
      <c r="D12" s="47" t="inlineStr">
        <is>
          <t>Verify that sensitive information is subject to data retention classification, ensuring that outdated or unnecessary data is deleted automatically, on a defined schedule, or as the situation requires.</t>
        </is>
      </c>
      <c r="E12" s="54" t="n">
        <v>3</v>
      </c>
      <c r="F12" s="49" t="inlineStr">
        <is>
          <t>Compliant</t>
        </is>
      </c>
      <c r="G12" s="47" t="inlineStr">
        <is>
          <t>Explicitly covered by Deliveries documentation with direct ASVS traceability (design-phase evidence). Residual risk: Implementation verification is still pending for Phase 2 execution.</t>
        </is>
      </c>
      <c r="H12" s="47" t="inlineStr">
        <is>
          <t>backend/src/main/java/com/desofs/project/document/services/DocumentService.java; backend/src/main/java/com/desofs/project/infrastructure/filesystem/FileStorageService.java; backend/src/main/java/com/desofs/project/document/controller/DocumentController.java; backend/src/main/resources/application.yml</t>
        </is>
      </c>
    </row>
    <row r="13" ht="30" customHeight="1" s="28">
      <c r="A13" s="50" t="inlineStr">
        <is>
          <t>V14.2</t>
        </is>
      </c>
      <c r="B13" s="50" t="inlineStr">
        <is>
          <t>General Data Protection</t>
        </is>
      </c>
      <c r="C13" s="51" t="inlineStr">
        <is>
          <t>V14.2.8</t>
        </is>
      </c>
      <c r="D13" s="52" t="inlineStr">
        <is>
          <t>Verify that sensitive information is removed from the metadata of user-submitted files unless storage is consented to by the user.</t>
        </is>
      </c>
      <c r="E13" s="54" t="n">
        <v>3</v>
      </c>
      <c r="F13" s="49" t="inlineStr">
        <is>
          <t>Compliant</t>
        </is>
      </c>
      <c r="G13" s="52" t="inlineStr">
        <is>
          <t>Explicitly covered by Deliveries documentation with direct ASVS traceability (design-phase evidence). Residual risk: Implementation verification is still pending for Phase 2 execution.</t>
        </is>
      </c>
      <c r="H13" s="52" t="inlineStr">
        <is>
          <t>backend/src/main/java/com/desofs/project/document/services/DocumentService.java; backend/src/main/java/com/desofs/project/infrastructure/filesystem/FileStorageService.java; backend/src/main/java/com/desofs/project/document/controller/DocumentController.java; backend/src/main/resources/application.yml</t>
        </is>
      </c>
    </row>
    <row r="14" ht="18" customHeight="1" s="28">
      <c r="A14" s="44" t="inlineStr">
        <is>
          <t>V14.3</t>
        </is>
      </c>
      <c r="B14" s="44" t="inlineStr">
        <is>
          <t>Client-side Data Protection</t>
        </is>
      </c>
      <c r="C14" s="44" t="n"/>
      <c r="D14" s="44" t="n"/>
      <c r="E14" s="44" t="n"/>
      <c r="F14" s="44" t="n"/>
      <c r="G14" s="44" t="n"/>
      <c r="H14" s="44" t="n"/>
    </row>
    <row r="15" ht="30" customHeight="1" s="28">
      <c r="A15" s="45" t="inlineStr">
        <is>
          <t>V14.3</t>
        </is>
      </c>
      <c r="B15" s="45" t="inlineStr">
        <is>
          <t>Client-side Data Protection</t>
        </is>
      </c>
      <c r="C15" s="46" t="inlineStr">
        <is>
          <t>V14.3.1</t>
        </is>
      </c>
      <c r="D15" s="47" t="inlineStr">
        <is>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is>
      </c>
      <c r="E15" s="53" t="n">
        <v>1</v>
      </c>
      <c r="F15" s="49" t="inlineStr">
        <is>
          <t>Compliant</t>
        </is>
      </c>
      <c r="G15" s="47" t="inlineStr">
        <is>
          <t>Explicitly covered by Deliveries documentation with direct ASVS traceability (design-phase evidence). Residual risk: Implementation verification is still pending for Phase 2 execution.</t>
        </is>
      </c>
      <c r="H15" s="47" t="inlineStr">
        <is>
          <t>backend/src/main/java/com/desofs/project/document/services/DocumentService.java; backend/src/main/java/com/desofs/project/infrastructure/filesystem/FileStorageService.java; backend/src/main/java/com/desofs/project/document/controller/DocumentController.java; backend/src/main/resources/application.yml</t>
        </is>
      </c>
    </row>
    <row r="16" ht="30" customHeight="1" s="28">
      <c r="A16" s="50" t="inlineStr">
        <is>
          <t>V14.3</t>
        </is>
      </c>
      <c r="B16" s="50" t="inlineStr">
        <is>
          <t>Client-side Data Protection</t>
        </is>
      </c>
      <c r="C16" s="51" t="inlineStr">
        <is>
          <t>V14.3.2</t>
        </is>
      </c>
      <c r="D16" s="52" t="inlineStr">
        <is>
          <t>Verify that the application sets sufficient anti-caching HTTP response header fields (i.e., Cache-Control: no-store) so that sensitive data is not cached in browsers.</t>
        </is>
      </c>
      <c r="E16" s="48" t="n">
        <v>2</v>
      </c>
      <c r="F16" s="49" t="inlineStr">
        <is>
          <t>Compliant</t>
        </is>
      </c>
      <c r="G16" s="52" t="inlineStr">
        <is>
          <t>Explicitly covered by Deliveries documentation with direct ASVS traceability (design-phase evidence). Residual risk: Implementation verification is still pending for Phase 2 execution.</t>
        </is>
      </c>
      <c r="H16" s="52" t="inlineStr">
        <is>
          <t>backend/src/main/java/com/desofs/project/document/services/DocumentService.java; backend/src/main/java/com/desofs/project/infrastructure/filesystem/FileStorageService.java; backend/src/main/java/com/desofs/project/document/controller/DocumentController.java; backend/src/main/resources/application.yml</t>
        </is>
      </c>
    </row>
    <row r="17" ht="30" customHeight="1" s="28">
      <c r="A17" s="45" t="inlineStr">
        <is>
          <t>V14.3</t>
        </is>
      </c>
      <c r="B17" s="45" t="inlineStr">
        <is>
          <t>Client-side Data Protection</t>
        </is>
      </c>
      <c r="C17" s="46" t="inlineStr">
        <is>
          <t>V14.3.3</t>
        </is>
      </c>
      <c r="D17" s="47" t="inlineStr">
        <is>
          <t>Verify that data stored in browser storage (such as localStorage, sessionStorage, IndexedDB, or cookies) does not contain sensitive data, with the exception of session tokens.</t>
        </is>
      </c>
      <c r="E17" s="48" t="n">
        <v>2</v>
      </c>
      <c r="F17" s="49" t="inlineStr">
        <is>
          <t>Compliant</t>
        </is>
      </c>
      <c r="G17" s="47" t="inlineStr">
        <is>
          <t>Explicitly covered by Deliveries documentation with direct ASVS traceability (design-phase evidence). Residual risk: Implementation verification is still pending for Phase 2 execution.</t>
        </is>
      </c>
      <c r="H17" s="47" t="inlineStr">
        <is>
          <t>backend/src/main/java/com/desofs/project/document/services/DocumentService.java; backend/src/main/java/com/desofs/project/infrastructure/filesystem/FileStorageService.java; backend/src/main/java/com/desofs/project/document/controller/DocumentController.java; backend/src/main/resources/application.yml</t>
        </is>
      </c>
    </row>
  </sheetData>
  <conditionalFormatting sqref="F2:F17">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17"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AC26"/>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V15.1</t>
        </is>
      </c>
      <c r="B2" s="44" t="inlineStr">
        <is>
          <t>Secure Coding and Architecture Documentation</t>
        </is>
      </c>
      <c r="C2" s="44" t="n"/>
      <c r="D2" s="44" t="n"/>
      <c r="E2" s="44" t="n"/>
      <c r="F2" s="44" t="n"/>
      <c r="G2" s="44" t="n"/>
      <c r="H2" s="44" t="n"/>
    </row>
    <row r="3" ht="30" customHeight="1" s="28">
      <c r="A3" s="45" t="inlineStr">
        <is>
          <t>V15.1</t>
        </is>
      </c>
      <c r="B3" s="45" t="inlineStr">
        <is>
          <t>Secure Coding and Architecture Documentation</t>
        </is>
      </c>
      <c r="C3" s="46" t="inlineStr">
        <is>
          <t>V15.1.1</t>
        </is>
      </c>
      <c r="D3" s="47" t="inlineStr">
        <is>
          <t>Verify that application documentation defines risk based remediation time frames for 3rd party component versions with vulnerabilities and for updating libraries in general, to minimize the risk from these components.</t>
        </is>
      </c>
      <c r="E3" s="53" t="n">
        <v>1</v>
      </c>
      <c r="F3" s="49" t="inlineStr">
        <is>
          <t>Compliant</t>
        </is>
      </c>
      <c r="G3" s="47" t="inlineStr">
        <is>
          <t>Explicitly covered by Deliveries documentation with direct ASVS traceability (design-phase evidence). Residual risk: Implementation verification is still pending for Phase 2 execution.</t>
        </is>
      </c>
      <c r="H3" s="47" t="inlineStr">
        <is>
          <t>Deliveries/Phase1/traceability-matrix.md (Section 3, traceability matrix, TM-015)</t>
        </is>
      </c>
    </row>
    <row r="4" ht="30" customHeight="1" s="28">
      <c r="A4" s="50" t="inlineStr">
        <is>
          <t>V15.1</t>
        </is>
      </c>
      <c r="B4" s="50" t="inlineStr">
        <is>
          <t>Secure Coding and Architecture Documentation</t>
        </is>
      </c>
      <c r="C4" s="51" t="inlineStr">
        <is>
          <t>V15.1.2</t>
        </is>
      </c>
      <c r="D4" s="52" t="inlineStr">
        <is>
          <t>Verify that an inventory catalog, such as software bill of materials (SBOM), is maintained of all third-party libraries in use, including verifying that components come from pre-defined, trusted, and continually maintained repositories.</t>
        </is>
      </c>
      <c r="E4" s="48" t="n">
        <v>2</v>
      </c>
      <c r="F4" s="49" t="inlineStr">
        <is>
          <t>Compliant</t>
        </is>
      </c>
      <c r="G4" s="52" t="inlineStr">
        <is>
          <t>Explicitly covered by Deliveries documentation with direct ASVS traceability (design-phase evidence). Residual risk: Implementation verification is still pending for Phase 2 execution.</t>
        </is>
      </c>
      <c r="H4" s="52" t="inlineStr">
        <is>
          <t>Deliveries/Phase1/traceability-matrix.md (Section 3, traceability matrix, TM-015)</t>
        </is>
      </c>
    </row>
    <row r="5" ht="30" customHeight="1" s="28">
      <c r="A5" s="45" t="inlineStr">
        <is>
          <t>V15.1</t>
        </is>
      </c>
      <c r="B5" s="45" t="inlineStr">
        <is>
          <t>Secure Coding and Architecture Documentation</t>
        </is>
      </c>
      <c r="C5" s="46" t="inlineStr">
        <is>
          <t>V15.1.3</t>
        </is>
      </c>
      <c r="D5" s="47" t="inlineStr">
        <is>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is>
      </c>
      <c r="E5" s="48" t="n">
        <v>2</v>
      </c>
      <c r="F5" s="49" t="inlineStr">
        <is>
          <t>Compliant</t>
        </is>
      </c>
      <c r="G5" s="47" t="inlineStr">
        <is>
          <t>Explicitly covered by Deliveries documentation with direct ASVS traceability (design-phase evidence). Residual risk: Implementation verification is still pending for Phase 2 execution.</t>
        </is>
      </c>
      <c r="H5" s="47" t="inlineStr">
        <is>
          <t>Deliverables/Phase2/Sprint1/SDR-001/SDR-001-secure-coding-checklist.md; Deliverables/Phase2/Sprint1/SDR-007/SDR-007-mandatory-devsecops-pipeline.md; Deliverables/Phase2/Sprint1/ci-cd-process.md; .github/workflows/pull-request-workflow.yml; .github/workflows/main-workflow.yml; .github/dependabot.yml</t>
        </is>
      </c>
    </row>
    <row r="6" ht="30" customHeight="1" s="28">
      <c r="A6" s="50" t="inlineStr">
        <is>
          <t>V15.1</t>
        </is>
      </c>
      <c r="B6" s="50" t="inlineStr">
        <is>
          <t>Secure Coding and Architecture Documentation</t>
        </is>
      </c>
      <c r="C6" s="51" t="inlineStr">
        <is>
          <t>V15.1.4</t>
        </is>
      </c>
      <c r="D6" s="52" t="inlineStr">
        <is>
          <t>Verify that application documentation highlights third-party libraries which are considered to be "risky components".</t>
        </is>
      </c>
      <c r="E6" s="54" t="n">
        <v>3</v>
      </c>
      <c r="F6" s="49" t="inlineStr">
        <is>
          <t>Compliant</t>
        </is>
      </c>
      <c r="G6" s="52" t="inlineStr">
        <is>
          <t>Explicitly covered by Deliveries documentation with direct ASVS traceability (design-phase evidence). Residual risk: Implementation verification is still pending for Phase 2 execution.</t>
        </is>
      </c>
      <c r="H6" s="52" t="inlineStr">
        <is>
          <t>Deliverables/Phase2/Sprint1/SDR-001/SDR-001-secure-coding-checklist.md; Deliverables/Phase2/Sprint1/SDR-007/SDR-007-mandatory-devsecops-pipeline.md; Deliverables/Phase2/Sprint1/ci-cd-process.md; .github/workflows/pull-request-workflow.yml; .github/workflows/main-workflow.yml; .github/dependabot.yml</t>
        </is>
      </c>
    </row>
    <row r="7" ht="30" customHeight="1" s="28">
      <c r="A7" s="45" t="inlineStr">
        <is>
          <t>V15.1</t>
        </is>
      </c>
      <c r="B7" s="45" t="inlineStr">
        <is>
          <t>Secure Coding and Architecture Documentation</t>
        </is>
      </c>
      <c r="C7" s="46" t="inlineStr">
        <is>
          <t>V15.1.5</t>
        </is>
      </c>
      <c r="D7" s="47" t="inlineStr">
        <is>
          <t>Verify that application documentation highlights parts of the application where "dangerous functionality" is being used.</t>
        </is>
      </c>
      <c r="E7" s="54" t="n">
        <v>3</v>
      </c>
      <c r="F7" s="49" t="inlineStr">
        <is>
          <t>Compliant</t>
        </is>
      </c>
      <c r="G7" s="47" t="inlineStr">
        <is>
          <t>Explicitly covered by Deliveries documentation with direct ASVS traceability (design-phase evidence). Residual risk: Implementation verification is still pending for Phase 2 execution.</t>
        </is>
      </c>
      <c r="H7" s="47" t="inlineStr">
        <is>
          <t>Deliverables/Phase2/Sprint1/SDR-001/SDR-001-secure-coding-checklist.md; Deliverables/Phase2/Sprint1/SDR-007/SDR-007-mandatory-devsecops-pipeline.md; Deliverables/Phase2/Sprint1/ci-cd-process.md; .github/workflows/pull-request-workflow.yml; .github/workflows/main-workflow.yml; .github/dependabot.yml</t>
        </is>
      </c>
    </row>
    <row r="8" ht="18" customHeight="1" s="28">
      <c r="A8" s="44" t="inlineStr">
        <is>
          <t>V15.2</t>
        </is>
      </c>
      <c r="B8" s="44" t="inlineStr">
        <is>
          <t>Security Architecture and Dependencies</t>
        </is>
      </c>
      <c r="C8" s="44" t="n"/>
      <c r="D8" s="44" t="n"/>
      <c r="E8" s="44" t="n"/>
      <c r="F8" s="44" t="n"/>
      <c r="G8" s="44" t="n"/>
      <c r="H8" s="44" t="n"/>
    </row>
    <row r="9" ht="30" customHeight="1" s="28">
      <c r="A9" s="45" t="inlineStr">
        <is>
          <t>V15.2</t>
        </is>
      </c>
      <c r="B9" s="45" t="inlineStr">
        <is>
          <t>Security Architecture and Dependencies</t>
        </is>
      </c>
      <c r="C9" s="46" t="inlineStr">
        <is>
          <t>V15.2.1</t>
        </is>
      </c>
      <c r="D9" s="47" t="inlineStr">
        <is>
          <t>Verify that the application only contains components which have not breached the documented update and remediation time frames.</t>
        </is>
      </c>
      <c r="E9" s="53" t="n">
        <v>1</v>
      </c>
      <c r="F9" s="49" t="inlineStr">
        <is>
          <t>Compliant</t>
        </is>
      </c>
      <c r="G9" s="47" t="inlineStr">
        <is>
          <t>Explicitly covered by Deliveries documentation with direct ASVS traceability (design-phase evidence). Residual risk: Implementation verification is still pending for Phase 2 execution.</t>
        </is>
      </c>
      <c r="H9" s="47" t="inlineStr">
        <is>
          <t>Deliverables/Phase2/Sprint1/SDR-001/SDR-001-secure-coding-checklist.md; Deliverables/Phase2/Sprint1/SDR-007/SDR-007-mandatory-devsecops-pipeline.md; Deliverables/Phase2/Sprint1/ci-cd-process.md; .github/workflows/pull-request-workflow.yml; .github/workflows/main-workflow.yml; .github/dependabot.yml</t>
        </is>
      </c>
    </row>
    <row r="10" ht="30" customHeight="1" s="28">
      <c r="A10" s="50" t="inlineStr">
        <is>
          <t>V15.2</t>
        </is>
      </c>
      <c r="B10" s="50" t="inlineStr">
        <is>
          <t>Security Architecture and Dependencies</t>
        </is>
      </c>
      <c r="C10" s="51" t="inlineStr">
        <is>
          <t>V15.2.2</t>
        </is>
      </c>
      <c r="D10" s="52" t="inlineStr">
        <is>
          <t>Verify that the application has implemented defenses against loss of availability due to functionality which is time-consuming or resource-demanding, based on the documented security decisions and strategies for this.</t>
        </is>
      </c>
      <c r="E10" s="48" t="n">
        <v>2</v>
      </c>
      <c r="F10" s="49" t="inlineStr">
        <is>
          <t>Compliant</t>
        </is>
      </c>
      <c r="G10" s="52" t="inlineStr">
        <is>
          <t>Explicitly covered by Deliveries documentation with direct ASVS traceability (design-phase evidence). Residual risk: Implementation verification is still pending for Phase 2 execution.</t>
        </is>
      </c>
      <c r="H10" s="52" t="inlineStr">
        <is>
          <t>Deliverables/Phase2/Sprint1/SDR-001/SDR-001-secure-coding-checklist.md; Deliverables/Phase2/Sprint1/SDR-007/SDR-007-mandatory-devsecops-pipeline.md; Deliverables/Phase2/Sprint1/ci-cd-process.md; .github/workflows/pull-request-workflow.yml; .github/workflows/main-workflow.yml; .github/dependabot.yml</t>
        </is>
      </c>
    </row>
    <row r="11" ht="30" customHeight="1" s="28">
      <c r="A11" s="45" t="inlineStr">
        <is>
          <t>V15.2</t>
        </is>
      </c>
      <c r="B11" s="45" t="inlineStr">
        <is>
          <t>Security Architecture and Dependencies</t>
        </is>
      </c>
      <c r="C11" s="46" t="inlineStr">
        <is>
          <t>V15.2.3</t>
        </is>
      </c>
      <c r="D11" s="47" t="inlineStr">
        <is>
          <t>Verify that the production environment only includes functionality that is required for the application to function, and does not expose extraneous functionality such as test code, sample snippets, and development functionality.</t>
        </is>
      </c>
      <c r="E11" s="48" t="n">
        <v>2</v>
      </c>
      <c r="F11" s="49" t="inlineStr">
        <is>
          <t>Compliant</t>
        </is>
      </c>
      <c r="G11" s="47" t="inlineStr">
        <is>
          <t>Explicitly covered by Deliveries documentation with direct ASVS traceability (design-phase evidence). Residual risk: Implementation verification is still pending for Phase 2 execution.</t>
        </is>
      </c>
      <c r="H11" s="47" t="inlineStr">
        <is>
          <t>Deliveries/Phase1/traceability-matrix.md (Section 3, traceability matrix, TM-016)</t>
        </is>
      </c>
    </row>
    <row r="12" ht="30" customHeight="1" s="28">
      <c r="A12" s="50" t="inlineStr">
        <is>
          <t>V15.2</t>
        </is>
      </c>
      <c r="B12" s="50" t="inlineStr">
        <is>
          <t>Security Architecture and Dependencies</t>
        </is>
      </c>
      <c r="C12" s="51" t="inlineStr">
        <is>
          <t>V15.2.4</t>
        </is>
      </c>
      <c r="D12" s="52" t="inlineStr">
        <is>
          <t>Verify that third-party components and all of their transitive dependencies are included from the expected repository, whether internally owned or an external source, and that there is no risk of a dependency confusion attack.</t>
        </is>
      </c>
      <c r="E12" s="54" t="n">
        <v>3</v>
      </c>
      <c r="F12" s="49" t="inlineStr">
        <is>
          <t>Compliant</t>
        </is>
      </c>
      <c r="G12" s="52" t="inlineStr">
        <is>
          <t>Explicitly covered by Deliveries documentation with direct ASVS traceability (design-phase evidence). Residual risk: Implementation verification is still pending for Phase 2 execution.</t>
        </is>
      </c>
      <c r="H12" s="52" t="inlineStr">
        <is>
          <t>Deliverables/Phase2/Sprint1/SDR-001/SDR-001-secure-coding-checklist.md; Deliverables/Phase2/Sprint1/SDR-007/SDR-007-mandatory-devsecops-pipeline.md; Deliverables/Phase2/Sprint1/ci-cd-process.md; .github/workflows/pull-request-workflow.yml; .github/workflows/main-workflow.yml; .github/dependabot.yml</t>
        </is>
      </c>
    </row>
    <row r="13" ht="30" customHeight="1" s="28">
      <c r="A13" s="45" t="inlineStr">
        <is>
          <t>V15.2</t>
        </is>
      </c>
      <c r="B13" s="45" t="inlineStr">
        <is>
          <t>Security Architecture and Dependencies</t>
        </is>
      </c>
      <c r="C13" s="46" t="inlineStr">
        <is>
          <t>V15.2.5</t>
        </is>
      </c>
      <c r="D13" s="47" t="inlineStr">
        <is>
          <t>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is>
      </c>
      <c r="E13" s="54" t="n">
        <v>3</v>
      </c>
      <c r="F13" s="49" t="inlineStr">
        <is>
          <t>Compliant</t>
        </is>
      </c>
      <c r="G13" s="47" t="inlineStr">
        <is>
          <t>Explicitly covered by Deliveries documentation with direct ASVS traceability (design-phase evidence). Residual risk: Implementation verification is still pending for Phase 2 execution.</t>
        </is>
      </c>
      <c r="H13" s="47" t="inlineStr">
        <is>
          <t>Deliverables/Phase2/Sprint1/SDR-001/SDR-001-secure-coding-checklist.md; Deliverables/Phase2/Sprint1/SDR-007/SDR-007-mandatory-devsecops-pipeline.md; Deliverables/Phase2/Sprint1/ci-cd-process.md; .github/workflows/pull-request-workflow.yml; .github/workflows/main-workflow.yml; .github/dependabot.yml</t>
        </is>
      </c>
    </row>
    <row r="14" ht="18" customHeight="1" s="28">
      <c r="A14" s="44" t="inlineStr">
        <is>
          <t>V15.3</t>
        </is>
      </c>
      <c r="B14" s="44" t="inlineStr">
        <is>
          <t>Defensive Coding</t>
        </is>
      </c>
      <c r="C14" s="44" t="n"/>
      <c r="D14" s="44" t="n"/>
      <c r="E14" s="44" t="n"/>
      <c r="F14" s="44" t="n"/>
      <c r="G14" s="44" t="n"/>
      <c r="H14" s="44" t="n"/>
    </row>
    <row r="15" ht="30" customHeight="1" s="28">
      <c r="A15" s="45" t="inlineStr">
        <is>
          <t>V15.3</t>
        </is>
      </c>
      <c r="B15" s="45" t="inlineStr">
        <is>
          <t>Defensive Coding</t>
        </is>
      </c>
      <c r="C15" s="46" t="inlineStr">
        <is>
          <t>V15.3.1</t>
        </is>
      </c>
      <c r="D15" s="47" t="inlineStr">
        <is>
          <t>Verify that the application only returns the required subset of fields from a data object. For example, it should not return an entire data object, as some individual fields should not be accessible to users.</t>
        </is>
      </c>
      <c r="E15" s="53" t="n">
        <v>1</v>
      </c>
      <c r="F15" s="49" t="inlineStr">
        <is>
          <t>Compliant</t>
        </is>
      </c>
      <c r="G15" s="47" t="inlineStr">
        <is>
          <t>Explicitly covered by Deliveries documentation with direct ASVS traceability (design-phase evidence). Residual risk: Implementation verification is still pending for Phase 2 execution.</t>
        </is>
      </c>
      <c r="H15" s="47" t="inlineStr">
        <is>
          <t>Deliveries/Phase1/traceability-matrix.md (Section 3, traceability matrix, TM-017)</t>
        </is>
      </c>
    </row>
    <row r="16" ht="30" customHeight="1" s="28">
      <c r="A16" s="50" t="inlineStr">
        <is>
          <t>V15.3</t>
        </is>
      </c>
      <c r="B16" s="50" t="inlineStr">
        <is>
          <t>Defensive Coding</t>
        </is>
      </c>
      <c r="C16" s="51" t="inlineStr">
        <is>
          <t>V15.3.2</t>
        </is>
      </c>
      <c r="D16" s="52" t="inlineStr">
        <is>
          <t>Verify that where the application backend makes calls to external URLs, it is configured to not follow redirects unless it is intended functionality.</t>
        </is>
      </c>
      <c r="E16" s="48" t="n">
        <v>2</v>
      </c>
      <c r="F16" s="49" t="inlineStr">
        <is>
          <t>Compliant</t>
        </is>
      </c>
      <c r="G16" s="52" t="inlineStr">
        <is>
          <t>Explicitly covered by Deliveries documentation with direct ASVS traceability (design-phase evidence). Residual risk: Implementation verification is still pending for Phase 2 execution.</t>
        </is>
      </c>
      <c r="H16" s="52" t="inlineStr">
        <is>
          <t>Deliverables/Phase2/Sprint1/SDR-001/SDR-001-secure-coding-checklist.md; Deliverables/Phase2/Sprint1/SDR-007/SDR-007-mandatory-devsecops-pipeline.md; Deliverables/Phase2/Sprint1/ci-cd-process.md; .github/workflows/pull-request-workflow.yml; .github/workflows/main-workflow.yml; .github/dependabot.yml</t>
        </is>
      </c>
    </row>
    <row r="17" ht="30" customHeight="1" s="28">
      <c r="A17" s="45" t="inlineStr">
        <is>
          <t>V15.3</t>
        </is>
      </c>
      <c r="B17" s="45" t="inlineStr">
        <is>
          <t>Defensive Coding</t>
        </is>
      </c>
      <c r="C17" s="46" t="inlineStr">
        <is>
          <t>V15.3.3</t>
        </is>
      </c>
      <c r="D17" s="47" t="inlineStr">
        <is>
          <t>Verify that the application has countermeasures to protect against mass assignment attacks by limiting allowed fields per controller and action, e.g., it is not possible to insert or update a field value when it was not intended to be part of that action.</t>
        </is>
      </c>
      <c r="E17" s="48" t="n">
        <v>2</v>
      </c>
      <c r="F17" s="49" t="inlineStr">
        <is>
          <t>Compliant</t>
        </is>
      </c>
      <c r="G17" s="47" t="inlineStr">
        <is>
          <t>Explicitly covered by Deliveries documentation with direct ASVS traceability (design-phase evidence). Residual risk: Implementation verification is still pending for Phase 2 execution.</t>
        </is>
      </c>
      <c r="H17" s="47" t="inlineStr">
        <is>
          <t>Deliveries/Phase1/traceability-matrix.md (Section 3, traceability matrix, TM-028)</t>
        </is>
      </c>
    </row>
    <row r="18" ht="30" customHeight="1" s="28">
      <c r="A18" s="50" t="inlineStr">
        <is>
          <t>V15.3</t>
        </is>
      </c>
      <c r="B18" s="50" t="inlineStr">
        <is>
          <t>Defensive Coding</t>
        </is>
      </c>
      <c r="C18" s="51" t="inlineStr">
        <is>
          <t>V15.3.4</t>
        </is>
      </c>
      <c r="D18" s="52" t="inlineStr">
        <is>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is>
      </c>
      <c r="E18" s="48" t="n">
        <v>2</v>
      </c>
      <c r="F18" s="49" t="inlineStr">
        <is>
          <t>Compliant</t>
        </is>
      </c>
      <c r="G18" s="52" t="inlineStr">
        <is>
          <t>Explicitly covered by Deliveries documentation with direct ASVS traceability (design-phase evidence). Residual risk: Implementation verification is still pending for Phase 2 execution.</t>
        </is>
      </c>
      <c r="H18" s="52" t="inlineStr">
        <is>
          <t>Deliverables/Phase2/Sprint1/SDR-001/SDR-001-secure-coding-checklist.md; Deliverables/Phase2/Sprint1/SDR-007/SDR-007-mandatory-devsecops-pipeline.md; Deliverables/Phase2/Sprint1/ci-cd-process.md; .github/workflows/pull-request-workflow.yml; .github/workflows/main-workflow.yml; .github/dependabot.yml</t>
        </is>
      </c>
    </row>
    <row r="19" ht="30" customHeight="1" s="28">
      <c r="A19" s="45" t="inlineStr">
        <is>
          <t>V15.3</t>
        </is>
      </c>
      <c r="B19" s="45" t="inlineStr">
        <is>
          <t>Defensive Coding</t>
        </is>
      </c>
      <c r="C19" s="46" t="inlineStr">
        <is>
          <t>V15.3.5</t>
        </is>
      </c>
      <c r="D19" s="47" t="inlineStr">
        <is>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is>
      </c>
      <c r="E19" s="48" t="n">
        <v>2</v>
      </c>
      <c r="F19" s="49" t="inlineStr">
        <is>
          <t>Compliant</t>
        </is>
      </c>
      <c r="G19" s="47" t="inlineStr">
        <is>
          <t>Explicitly covered by Deliveries documentation with direct ASVS traceability (design-phase evidence). Residual risk: Implementation verification is still pending for Phase 2 execution.</t>
        </is>
      </c>
      <c r="H19" s="47" t="inlineStr">
        <is>
          <t>Deliverables/Phase2/Sprint1/SDR-001/SDR-001-secure-coding-checklist.md; Deliverables/Phase2/Sprint1/SDR-007/SDR-007-mandatory-devsecops-pipeline.md; Deliverables/Phase2/Sprint1/ci-cd-process.md; .github/workflows/pull-request-workflow.yml; .github/workflows/main-workflow.yml; .github/dependabot.yml</t>
        </is>
      </c>
    </row>
    <row r="20" ht="30" customHeight="1" s="28">
      <c r="A20" s="50" t="inlineStr">
        <is>
          <t>V15.3</t>
        </is>
      </c>
      <c r="B20" s="50" t="inlineStr">
        <is>
          <t>Defensive Coding</t>
        </is>
      </c>
      <c r="C20" s="51" t="inlineStr">
        <is>
          <t>V15.3.6</t>
        </is>
      </c>
      <c r="D20" s="52" t="inlineStr">
        <is>
          <t>Verify that JavaScript code is written in a way that prevents prototype pollution, for example, by using Set() or Map() instead of object literals.</t>
        </is>
      </c>
      <c r="E20" s="48" t="n">
        <v>2</v>
      </c>
      <c r="F20" s="49" t="inlineStr">
        <is>
          <t>Compliant</t>
        </is>
      </c>
      <c r="G20" s="52" t="inlineStr">
        <is>
          <t>Explicitly covered by Deliveries documentation with direct ASVS traceability (design-phase evidence). Residual risk: Implementation verification is still pending for Phase 2 execution.</t>
        </is>
      </c>
      <c r="H20" s="52" t="inlineStr">
        <is>
          <t>Deliverables/Phase2/Sprint1/SDR-001/SDR-001-secure-coding-checklist.md; Deliverables/Phase2/Sprint1/SDR-007/SDR-007-mandatory-devsecops-pipeline.md; Deliverables/Phase2/Sprint1/ci-cd-process.md; .github/workflows/pull-request-workflow.yml; .github/workflows/main-workflow.yml; .github/dependabot.yml</t>
        </is>
      </c>
    </row>
    <row r="21" ht="30" customHeight="1" s="28">
      <c r="A21" s="45" t="inlineStr">
        <is>
          <t>V15.3</t>
        </is>
      </c>
      <c r="B21" s="45" t="inlineStr">
        <is>
          <t>Defensive Coding</t>
        </is>
      </c>
      <c r="C21" s="46" t="inlineStr">
        <is>
          <t>V15.3.7</t>
        </is>
      </c>
      <c r="D21" s="47" t="inlineStr">
        <is>
          <t>Verify that the application has defenses against HTTP parameter pollution attacks, particularly if the application framework makes no distinction about the source of request parameters (query string, body parameters, cookies, or header fields).</t>
        </is>
      </c>
      <c r="E21" s="48" t="n">
        <v>2</v>
      </c>
      <c r="F21" s="49" t="inlineStr">
        <is>
          <t>Compliant</t>
        </is>
      </c>
      <c r="G21" s="47" t="inlineStr">
        <is>
          <t>Explicitly covered by Deliveries documentation with direct ASVS traceability (design-phase evidence). Residual risk: Implementation verification is still pending for Phase 2 execution.</t>
        </is>
      </c>
      <c r="H21" s="47" t="inlineStr">
        <is>
          <t>Deliverables/Phase2/Sprint1/SDR-001/SDR-001-secure-coding-checklist.md; Deliverables/Phase2/Sprint1/SDR-007/SDR-007-mandatory-devsecops-pipeline.md; Deliverables/Phase2/Sprint1/ci-cd-process.md; .github/workflows/pull-request-workflow.yml; .github/workflows/main-workflow.yml; .github/dependabot.yml</t>
        </is>
      </c>
    </row>
    <row r="22" ht="18" customHeight="1" s="28">
      <c r="A22" s="44" t="inlineStr">
        <is>
          <t>V15.4</t>
        </is>
      </c>
      <c r="B22" s="44" t="inlineStr">
        <is>
          <t>Safe Concurrency</t>
        </is>
      </c>
      <c r="C22" s="44" t="n"/>
      <c r="D22" s="44" t="n"/>
      <c r="E22" s="44" t="n"/>
      <c r="F22" s="44" t="n"/>
      <c r="G22" s="44" t="n"/>
      <c r="H22" s="44" t="n"/>
    </row>
    <row r="23" ht="30" customHeight="1" s="28">
      <c r="A23" s="45" t="inlineStr">
        <is>
          <t>V15.4</t>
        </is>
      </c>
      <c r="B23" s="45" t="inlineStr">
        <is>
          <t>Safe Concurrency</t>
        </is>
      </c>
      <c r="C23" s="46" t="inlineStr">
        <is>
          <t>V15.4.1</t>
        </is>
      </c>
      <c r="D23" s="47" t="inlineStr">
        <is>
          <t>Verify that shared objects in multi-threaded code (such as caches, files, or in-memory objects accessed by multiple threads) are accessed safely by using thread-safe types and synchronization mechanisms like locks or semaphores to avoid race conditions and data corruption.</t>
        </is>
      </c>
      <c r="E23" s="54" t="n">
        <v>3</v>
      </c>
      <c r="F23" s="49" t="inlineStr">
        <is>
          <t>Compliant</t>
        </is>
      </c>
      <c r="G23" s="47" t="inlineStr">
        <is>
          <t>Explicitly covered by Deliveries documentation with direct ASVS traceability (design-phase evidence). Residual risk: Implementation verification is still pending for Phase 2 execution.</t>
        </is>
      </c>
      <c r="H23" s="47" t="inlineStr">
        <is>
          <t>Deliverables/Phase2/Sprint1/SDR-001/SDR-001-secure-coding-checklist.md; Deliverables/Phase2/Sprint1/SDR-007/SDR-007-mandatory-devsecops-pipeline.md; Deliverables/Phase2/Sprint1/ci-cd-process.md; .github/workflows/pull-request-workflow.yml; .github/workflows/main-workflow.yml; .github/dependabot.yml</t>
        </is>
      </c>
    </row>
    <row r="24" ht="30" customHeight="1" s="28">
      <c r="A24" s="50" t="inlineStr">
        <is>
          <t>V15.4</t>
        </is>
      </c>
      <c r="B24" s="50" t="inlineStr">
        <is>
          <t>Safe Concurrency</t>
        </is>
      </c>
      <c r="C24" s="51" t="inlineStr">
        <is>
          <t>V15.4.2</t>
        </is>
      </c>
      <c r="D24" s="52" t="inlineStr">
        <is>
          <t>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is>
      </c>
      <c r="E24" s="54" t="n">
        <v>3</v>
      </c>
      <c r="F24" s="49" t="inlineStr">
        <is>
          <t>Compliant</t>
        </is>
      </c>
      <c r="G24" s="52" t="inlineStr">
        <is>
          <t>Explicitly covered by Deliveries documentation with direct ASVS traceability (design-phase evidence). Residual risk: Implementation verification is still pending for Phase 2 execution.</t>
        </is>
      </c>
      <c r="H24" s="52" t="inlineStr">
        <is>
          <t>Deliverables/Phase2/Sprint1/SDR-001/SDR-001-secure-coding-checklist.md; Deliverables/Phase2/Sprint1/SDR-007/SDR-007-mandatory-devsecops-pipeline.md; Deliverables/Phase2/Sprint1/ci-cd-process.md; .github/workflows/pull-request-workflow.yml; .github/workflows/main-workflow.yml; .github/dependabot.yml</t>
        </is>
      </c>
    </row>
    <row r="25" ht="30" customHeight="1" s="28">
      <c r="A25" s="45" t="inlineStr">
        <is>
          <t>V15.4</t>
        </is>
      </c>
      <c r="B25" s="45" t="inlineStr">
        <is>
          <t>Safe Concurrency</t>
        </is>
      </c>
      <c r="C25" s="46" t="inlineStr">
        <is>
          <t>V15.4.3</t>
        </is>
      </c>
      <c r="D25" s="47" t="inlineStr">
        <is>
          <t>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is>
      </c>
      <c r="E25" s="54" t="n">
        <v>3</v>
      </c>
      <c r="F25" s="49" t="inlineStr">
        <is>
          <t>Compliant</t>
        </is>
      </c>
      <c r="G25" s="47" t="inlineStr">
        <is>
          <t>Explicitly covered by Deliveries documentation with direct ASVS traceability (design-phase evidence). Residual risk: Implementation verification is still pending for Phase 2 execution.</t>
        </is>
      </c>
      <c r="H25" s="47" t="inlineStr">
        <is>
          <t>Deliverables/Phase2/Sprint1/SDR-001/SDR-001-secure-coding-checklist.md; Deliverables/Phase2/Sprint1/SDR-007/SDR-007-mandatory-devsecops-pipeline.md; Deliverables/Phase2/Sprint1/ci-cd-process.md; .github/workflows/pull-request-workflow.yml; .github/workflows/main-workflow.yml; .github/dependabot.yml</t>
        </is>
      </c>
    </row>
    <row r="26" ht="30" customHeight="1" s="28">
      <c r="A26" s="50" t="inlineStr">
        <is>
          <t>V15.4</t>
        </is>
      </c>
      <c r="B26" s="50" t="inlineStr">
        <is>
          <t>Safe Concurrency</t>
        </is>
      </c>
      <c r="C26" s="51" t="inlineStr">
        <is>
          <t>V15.4.4</t>
        </is>
      </c>
      <c r="D26" s="52" t="inlineStr">
        <is>
          <t>Verify that resource allocation policies prevent thread starvation by ensuring fair access to resources, such as by leveraging thread pools, allowing lower-priority threads to proceed within a reasonable timeframe.</t>
        </is>
      </c>
      <c r="E26" s="54" t="n">
        <v>3</v>
      </c>
      <c r="F26" s="49" t="inlineStr">
        <is>
          <t>Compliant</t>
        </is>
      </c>
      <c r="G26" s="52" t="inlineStr">
        <is>
          <t>Explicitly covered by Deliveries documentation with direct ASVS traceability (design-phase evidence). Residual risk: Implementation verification is still pending for Phase 2 execution.</t>
        </is>
      </c>
      <c r="H26" s="52" t="inlineStr">
        <is>
          <t>Deliverables/Phase2/Sprint1/SDR-001/SDR-001-secure-coding-checklist.md; Deliverables/Phase2/Sprint1/SDR-007/SDR-007-mandatory-devsecops-pipeline.md; Deliverables/Phase2/Sprint1/ci-cd-process.md; .github/workflows/pull-request-workflow.yml; .github/workflows/main-workflow.yml; .github/dependabot.yml</t>
        </is>
      </c>
    </row>
  </sheetData>
  <conditionalFormatting sqref="F2:F26">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26"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AC23"/>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V16.1</t>
        </is>
      </c>
      <c r="B2" s="44" t="inlineStr">
        <is>
          <t>Security Logging Documentation</t>
        </is>
      </c>
      <c r="C2" s="44" t="n"/>
      <c r="D2" s="44" t="n"/>
      <c r="E2" s="44" t="n"/>
      <c r="F2" s="44" t="n"/>
      <c r="G2" s="44" t="n"/>
      <c r="H2" s="44" t="n"/>
    </row>
    <row r="3" ht="30" customHeight="1" s="28">
      <c r="A3" s="45" t="inlineStr">
        <is>
          <t>V16.1</t>
        </is>
      </c>
      <c r="B3" s="45" t="inlineStr">
        <is>
          <t>Security Logging Documentation</t>
        </is>
      </c>
      <c r="C3" s="46" t="inlineStr">
        <is>
          <t>V16.1.1</t>
        </is>
      </c>
      <c r="D3" s="47" t="inlineStr">
        <is>
          <t>Verify that an inventory exists documenting the logging performed at each layer of the application's technology stack, what events are being logged, log formats, where that logging is stored, how it is used, how access to it is controlled, and for how long logs are kept.</t>
        </is>
      </c>
      <c r="E3" s="48" t="n">
        <v>2</v>
      </c>
      <c r="F3" s="49" t="inlineStr">
        <is>
          <t>Compliant</t>
        </is>
      </c>
      <c r="G3" s="47" t="inlineStr">
        <is>
          <t>Explicitly covered by Deliveries documentation with direct ASVS traceability (design-phase evidence). Residual risk: Implementation verification is still pending for Phase 2 execution.</t>
        </is>
      </c>
      <c r="H3" s="47" t="inlineStr">
        <is>
          <t>backend/src/main/java/com/desofs/project/audit/services/AuditService.java; backend/src/main/java/com/desofs/project/audit/repositories/AuditRepositoryImpl.java; backend/src/main/java/com/desofs/project/shared/controller/GlobalExceptionHandler.java; backend/src/main/java/com/desofs/project/config/JwtAuthenticationFilter.java</t>
        </is>
      </c>
    </row>
    <row r="4" ht="18" customHeight="1" s="28">
      <c r="A4" s="44" t="inlineStr">
        <is>
          <t>V16.2</t>
        </is>
      </c>
      <c r="B4" s="44" t="inlineStr">
        <is>
          <t>General Logging</t>
        </is>
      </c>
      <c r="C4" s="44" t="n"/>
      <c r="D4" s="44" t="n"/>
      <c r="E4" s="44" t="n"/>
      <c r="F4" s="44" t="n"/>
      <c r="G4" s="44" t="n"/>
      <c r="H4" s="44" t="n"/>
    </row>
    <row r="5" ht="30" customHeight="1" s="28">
      <c r="A5" s="45" t="inlineStr">
        <is>
          <t>V16.2</t>
        </is>
      </c>
      <c r="B5" s="45" t="inlineStr">
        <is>
          <t>General Logging</t>
        </is>
      </c>
      <c r="C5" s="46" t="inlineStr">
        <is>
          <t>V16.2.1</t>
        </is>
      </c>
      <c r="D5" s="47" t="inlineStr">
        <is>
          <t>Verify that each log entry includes necessary metadata (such as when, where, who, what) that would allow for a detailed investigation of the timeline when an event happens.</t>
        </is>
      </c>
      <c r="E5" s="48" t="n">
        <v>2</v>
      </c>
      <c r="F5" s="49" t="inlineStr">
        <is>
          <t>Compliant</t>
        </is>
      </c>
      <c r="G5" s="47" t="inlineStr">
        <is>
          <t>Explicitly covered by Deliveries documentation with direct ASVS traceability (design-phase evidence). Residual risk: Implementation verification is still pending for Phase 2 execution.</t>
        </is>
      </c>
      <c r="H5" s="47" t="inlineStr">
        <is>
          <t>Deliveries/Phase1/traceability-matrix.md (Section 3, traceability matrix, TM-010); Deliveries/Phase1/traceability-matrix.md (Section 3, traceability matrix, TM-027)</t>
        </is>
      </c>
    </row>
    <row r="6" ht="30" customHeight="1" s="28">
      <c r="A6" s="50" t="inlineStr">
        <is>
          <t>V16.2</t>
        </is>
      </c>
      <c r="B6" s="50" t="inlineStr">
        <is>
          <t>General Logging</t>
        </is>
      </c>
      <c r="C6" s="51" t="inlineStr">
        <is>
          <t>V16.2.2</t>
        </is>
      </c>
      <c r="D6" s="52" t="inlineStr">
        <is>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is>
      </c>
      <c r="E6" s="48" t="n">
        <v>2</v>
      </c>
      <c r="F6" s="49" t="inlineStr">
        <is>
          <t>Compliant</t>
        </is>
      </c>
      <c r="G6" s="52" t="inlineStr">
        <is>
          <t>Explicitly covered by Deliveries documentation with direct ASVS traceability (design-phase evidence). Residual risk: Implementation verification is still pending for Phase 2 execution.</t>
        </is>
      </c>
      <c r="H6" s="52" t="inlineStr">
        <is>
          <t>backend/src/main/java/com/desofs/project/audit/services/AuditService.java; backend/src/main/java/com/desofs/project/audit/repositories/AuditRepositoryImpl.java; backend/src/main/java/com/desofs/project/shared/controller/GlobalExceptionHandler.java; backend/src/main/java/com/desofs/project/config/JwtAuthenticationFilter.java</t>
        </is>
      </c>
    </row>
    <row r="7" ht="30" customHeight="1" s="28">
      <c r="A7" s="45" t="inlineStr">
        <is>
          <t>V16.2</t>
        </is>
      </c>
      <c r="B7" s="45" t="inlineStr">
        <is>
          <t>General Logging</t>
        </is>
      </c>
      <c r="C7" s="46" t="inlineStr">
        <is>
          <t>V16.2.3</t>
        </is>
      </c>
      <c r="D7" s="47" t="inlineStr">
        <is>
          <t>Verify that the application only stores or broadcasts logs to the files and services that are documented in the log inventory.</t>
        </is>
      </c>
      <c r="E7" s="48" t="n">
        <v>2</v>
      </c>
      <c r="F7" s="49" t="inlineStr">
        <is>
          <t>Compliant</t>
        </is>
      </c>
      <c r="G7" s="47" t="inlineStr">
        <is>
          <t>Explicitly covered by Deliveries documentation with direct ASVS traceability (design-phase evidence). Residual risk: Implementation verification is still pending for Phase 2 execution.</t>
        </is>
      </c>
      <c r="H7" s="47" t="inlineStr">
        <is>
          <t>backend/src/main/java/com/desofs/project/audit/services/AuditService.java; backend/src/main/java/com/desofs/project/audit/repositories/AuditRepositoryImpl.java; backend/src/main/java/com/desofs/project/shared/controller/GlobalExceptionHandler.java; backend/src/main/java/com/desofs/project/config/JwtAuthenticationFilter.java</t>
        </is>
      </c>
    </row>
    <row r="8" ht="30" customHeight="1" s="28">
      <c r="A8" s="50" t="inlineStr">
        <is>
          <t>V16.2</t>
        </is>
      </c>
      <c r="B8" s="50" t="inlineStr">
        <is>
          <t>General Logging</t>
        </is>
      </c>
      <c r="C8" s="51" t="inlineStr">
        <is>
          <t>V16.2.4</t>
        </is>
      </c>
      <c r="D8" s="52" t="inlineStr">
        <is>
          <t>Verify that logs can be read and correlated by the log processor that is in use, preferably by using a common logging format.</t>
        </is>
      </c>
      <c r="E8" s="48" t="n">
        <v>2</v>
      </c>
      <c r="F8" s="49" t="inlineStr">
        <is>
          <t>Compliant</t>
        </is>
      </c>
      <c r="G8" s="52" t="inlineStr">
        <is>
          <t>Explicitly covered by Deliveries documentation with direct ASVS traceability (design-phase evidence). Residual risk: Implementation verification is still pending for Phase 2 execution.</t>
        </is>
      </c>
      <c r="H8" s="52" t="inlineStr">
        <is>
          <t>backend/src/main/java/com/desofs/project/audit/services/AuditService.java; backend/src/main/java/com/desofs/project/audit/repositories/AuditRepositoryImpl.java; backend/src/main/java/com/desofs/project/shared/controller/GlobalExceptionHandler.java; backend/src/main/java/com/desofs/project/config/JwtAuthenticationFilter.java</t>
        </is>
      </c>
    </row>
    <row r="9" ht="30" customHeight="1" s="28">
      <c r="A9" s="45" t="inlineStr">
        <is>
          <t>V16.2</t>
        </is>
      </c>
      <c r="B9" s="45" t="inlineStr">
        <is>
          <t>General Logging</t>
        </is>
      </c>
      <c r="C9" s="46" t="inlineStr">
        <is>
          <t>V16.2.5</t>
        </is>
      </c>
      <c r="D9" s="47" t="inlineStr">
        <is>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is>
      </c>
      <c r="E9" s="48" t="n">
        <v>2</v>
      </c>
      <c r="F9" s="49" t="inlineStr">
        <is>
          <t>Compliant</t>
        </is>
      </c>
      <c r="G9" s="47" t="inlineStr">
        <is>
          <t>Explicitly covered by Deliveries documentation with direct ASVS traceability (design-phase evidence). Residual risk: Implementation verification is still pending for Phase 2 execution.</t>
        </is>
      </c>
      <c r="H9" s="47" t="inlineStr">
        <is>
          <t>backend/src/main/java/com/desofs/project/audit/services/AuditService.java; backend/src/main/java/com/desofs/project/audit/repositories/AuditRepositoryImpl.java; backend/src/main/java/com/desofs/project/shared/controller/GlobalExceptionHandler.java; backend/src/main/java/com/desofs/project/config/JwtAuthenticationFilter.java</t>
        </is>
      </c>
    </row>
    <row r="10" ht="18" customHeight="1" s="28">
      <c r="A10" s="44" t="inlineStr">
        <is>
          <t>V16.3</t>
        </is>
      </c>
      <c r="B10" s="44" t="inlineStr">
        <is>
          <t>Security Events</t>
        </is>
      </c>
      <c r="C10" s="44" t="n"/>
      <c r="D10" s="44" t="n"/>
      <c r="E10" s="44" t="n"/>
      <c r="F10" s="44" t="n"/>
      <c r="G10" s="44" t="n"/>
      <c r="H10" s="44" t="n"/>
    </row>
    <row r="11" ht="30" customHeight="1" s="28">
      <c r="A11" s="45" t="inlineStr">
        <is>
          <t>V16.3</t>
        </is>
      </c>
      <c r="B11" s="45" t="inlineStr">
        <is>
          <t>Security Events</t>
        </is>
      </c>
      <c r="C11" s="46" t="inlineStr">
        <is>
          <t>V16.3.1</t>
        </is>
      </c>
      <c r="D11" s="47" t="inlineStr">
        <is>
          <t>Verify that all authentication operations are logged, including successful and unsuccessful attempts. Additional metadata, such as the type of authentication or factors used, should also be collected.</t>
        </is>
      </c>
      <c r="E11" s="48" t="n">
        <v>2</v>
      </c>
      <c r="F11" s="49" t="inlineStr">
        <is>
          <t>Compliant</t>
        </is>
      </c>
      <c r="G11" s="47" t="inlineStr">
        <is>
          <t>Explicitly covered by Deliveries documentation with direct ASVS traceability (design-phase evidence). Residual risk: Implementation verification is still pending for Phase 2 execution.</t>
        </is>
      </c>
      <c r="H11" s="47" t="inlineStr">
        <is>
          <t>backend/src/main/java/com/desofs/project/audit/services/AuditService.java; backend/src/main/java/com/desofs/project/audit/repositories/AuditRepositoryImpl.java; backend/src/main/java/com/desofs/project/shared/controller/GlobalExceptionHandler.java; backend/src/main/java/com/desofs/project/config/JwtAuthenticationFilter.java</t>
        </is>
      </c>
    </row>
    <row r="12" ht="30" customHeight="1" s="28">
      <c r="A12" s="50" t="inlineStr">
        <is>
          <t>V16.3</t>
        </is>
      </c>
      <c r="B12" s="50" t="inlineStr">
        <is>
          <t>Security Events</t>
        </is>
      </c>
      <c r="C12" s="51" t="inlineStr">
        <is>
          <t>V16.3.2</t>
        </is>
      </c>
      <c r="D12" s="52" t="inlineStr">
        <is>
          <t>Verify that failed authorization attempts are logged. For L3, this must include logging all authorization decisions, including logging when sensitive data is accessed (without logging the sensitive data itself).</t>
        </is>
      </c>
      <c r="E12" s="48" t="n">
        <v>2</v>
      </c>
      <c r="F12" s="49" t="inlineStr">
        <is>
          <t>Compliant</t>
        </is>
      </c>
      <c r="G12" s="52" t="inlineStr">
        <is>
          <t>Explicitly covered by Deliveries documentation with direct ASVS traceability (design-phase evidence). Residual risk: Implementation verification is still pending for Phase 2 execution.</t>
        </is>
      </c>
      <c r="H12" s="52" t="inlineStr">
        <is>
          <t>backend/src/main/java/com/desofs/project/audit/services/AuditService.java; backend/src/main/java/com/desofs/project/audit/repositories/AuditRepositoryImpl.java; backend/src/main/java/com/desofs/project/shared/controller/GlobalExceptionHandler.java; backend/src/main/java/com/desofs/project/config/JwtAuthenticationFilter.java</t>
        </is>
      </c>
    </row>
    <row r="13" ht="30" customHeight="1" s="28">
      <c r="A13" s="45" t="inlineStr">
        <is>
          <t>V16.3</t>
        </is>
      </c>
      <c r="B13" s="45" t="inlineStr">
        <is>
          <t>Security Events</t>
        </is>
      </c>
      <c r="C13" s="46" t="inlineStr">
        <is>
          <t>V16.3.3</t>
        </is>
      </c>
      <c r="D13" s="47" t="inlineStr">
        <is>
          <t>Verify that the application logs the security events that are defined in the documentation and also logs attempts to bypass the security controls, such as input validation, business logic, and anti-automation.</t>
        </is>
      </c>
      <c r="E13" s="48" t="n">
        <v>2</v>
      </c>
      <c r="F13" s="49" t="inlineStr">
        <is>
          <t>Compliant</t>
        </is>
      </c>
      <c r="G13" s="47" t="inlineStr">
        <is>
          <t>Explicitly covered by Deliveries documentation with direct ASVS traceability (design-phase evidence). Residual risk: Implementation verification is still pending for Phase 2 execution.</t>
        </is>
      </c>
      <c r="H13" s="47" t="inlineStr">
        <is>
          <t>Deliveries/Phase1/traceability-matrix.md (Section 3, traceability matrix, TM-010); Deliveries/Phase1/traceability-matrix.md (Section 3, traceability matrix, TM-027)</t>
        </is>
      </c>
    </row>
    <row r="14" ht="30" customHeight="1" s="28">
      <c r="A14" s="50" t="inlineStr">
        <is>
          <t>V16.3</t>
        </is>
      </c>
      <c r="B14" s="50" t="inlineStr">
        <is>
          <t>Security Events</t>
        </is>
      </c>
      <c r="C14" s="51" t="inlineStr">
        <is>
          <t>V16.3.4</t>
        </is>
      </c>
      <c r="D14" s="52" t="inlineStr">
        <is>
          <t>Verify that the application logs unexpected errors and security control failures such as backend TLS failures.</t>
        </is>
      </c>
      <c r="E14" s="48" t="n">
        <v>2</v>
      </c>
      <c r="F14" s="49" t="inlineStr">
        <is>
          <t>Compliant</t>
        </is>
      </c>
      <c r="G14" s="52" t="inlineStr">
        <is>
          <t>Explicitly covered by Deliveries documentation with direct ASVS traceability (design-phase evidence). Residual risk: Implementation verification is still pending for Phase 2 execution.</t>
        </is>
      </c>
      <c r="H14" s="52" t="inlineStr">
        <is>
          <t>backend/src/main/java/com/desofs/project/audit/services/AuditService.java; backend/src/main/java/com/desofs/project/audit/repositories/AuditRepositoryImpl.java; backend/src/main/java/com/desofs/project/shared/controller/GlobalExceptionHandler.java; backend/src/main/java/com/desofs/project/config/JwtAuthenticationFilter.java</t>
        </is>
      </c>
    </row>
    <row r="15" ht="18" customHeight="1" s="28">
      <c r="A15" s="44" t="inlineStr">
        <is>
          <t>V16.4</t>
        </is>
      </c>
      <c r="B15" s="44" t="inlineStr">
        <is>
          <t>Log Protection</t>
        </is>
      </c>
      <c r="C15" s="44" t="n"/>
      <c r="D15" s="44" t="n"/>
      <c r="E15" s="44" t="n"/>
      <c r="F15" s="44" t="n"/>
      <c r="G15" s="44" t="n"/>
      <c r="H15" s="44" t="n"/>
    </row>
    <row r="16" ht="30" customHeight="1" s="28">
      <c r="A16" s="45" t="inlineStr">
        <is>
          <t>V16.4</t>
        </is>
      </c>
      <c r="B16" s="45" t="inlineStr">
        <is>
          <t>Log Protection</t>
        </is>
      </c>
      <c r="C16" s="46" t="inlineStr">
        <is>
          <t>V16.4.1</t>
        </is>
      </c>
      <c r="D16" s="47" t="inlineStr">
        <is>
          <t>Verify that all logging components appropriately encode data to prevent log injection.</t>
        </is>
      </c>
      <c r="E16" s="48" t="n">
        <v>2</v>
      </c>
      <c r="F16" s="49" t="inlineStr">
        <is>
          <t>Compliant</t>
        </is>
      </c>
      <c r="G16" s="47" t="inlineStr">
        <is>
          <t>Explicitly covered by Deliveries documentation with direct ASVS traceability (design-phase evidence). Residual risk: Implementation verification is still pending for Phase 2 execution.</t>
        </is>
      </c>
      <c r="H16" s="47" t="inlineStr">
        <is>
          <t>backend/src/main/java/com/desofs/project/audit/services/AuditService.java; backend/src/main/java/com/desofs/project/audit/repositories/AuditRepositoryImpl.java; backend/src/main/java/com/desofs/project/shared/controller/GlobalExceptionHandler.java; backend/src/main/java/com/desofs/project/config/JwtAuthenticationFilter.java</t>
        </is>
      </c>
    </row>
    <row r="17" ht="30" customHeight="1" s="28">
      <c r="A17" s="50" t="inlineStr">
        <is>
          <t>V16.4</t>
        </is>
      </c>
      <c r="B17" s="50" t="inlineStr">
        <is>
          <t>Log Protection</t>
        </is>
      </c>
      <c r="C17" s="51" t="inlineStr">
        <is>
          <t>V16.4.2</t>
        </is>
      </c>
      <c r="D17" s="52" t="inlineStr">
        <is>
          <t>Verify that logs are protected from unauthorized access and cannot be modified.</t>
        </is>
      </c>
      <c r="E17" s="48" t="n">
        <v>2</v>
      </c>
      <c r="F17" s="49" t="inlineStr">
        <is>
          <t>Compliant</t>
        </is>
      </c>
      <c r="G17" s="52" t="inlineStr">
        <is>
          <t>Explicitly covered by Deliveries documentation with direct ASVS traceability (design-phase evidence). Residual risk: Implementation verification is still pending for Phase 2 execution.</t>
        </is>
      </c>
      <c r="H17" s="52" t="inlineStr">
        <is>
          <t>Deliveries/Phase1/traceability-matrix.md (Section 3, traceability matrix, TM-027)</t>
        </is>
      </c>
    </row>
    <row r="18" ht="30" customHeight="1" s="28">
      <c r="A18" s="45" t="inlineStr">
        <is>
          <t>V16.4</t>
        </is>
      </c>
      <c r="B18" s="45" t="inlineStr">
        <is>
          <t>Log Protection</t>
        </is>
      </c>
      <c r="C18" s="46" t="inlineStr">
        <is>
          <t>V16.4.3</t>
        </is>
      </c>
      <c r="D18" s="47" t="inlineStr">
        <is>
          <t>Verify that logs are securely transmitted to a logically separate system for analysis, detection, alerting, and escalation. The aim is to ensure that if the application is breached, the logs are not compromised.</t>
        </is>
      </c>
      <c r="E18" s="48" t="n">
        <v>2</v>
      </c>
      <c r="F18" s="49" t="inlineStr">
        <is>
          <t>Compliant</t>
        </is>
      </c>
      <c r="G18" s="47" t="inlineStr">
        <is>
          <t>Explicitly covered by Deliveries documentation with direct ASVS traceability (design-phase evidence). Residual risk: Implementation verification is still pending for Phase 2 execution.</t>
        </is>
      </c>
      <c r="H18" s="47" t="inlineStr">
        <is>
          <t>backend/src/main/java/com/desofs/project/audit/services/AuditService.java; backend/src/main/java/com/desofs/project/audit/repositories/AuditRepositoryImpl.java; backend/src/main/java/com/desofs/project/shared/controller/GlobalExceptionHandler.java; backend/src/main/java/com/desofs/project/config/JwtAuthenticationFilter.java</t>
        </is>
      </c>
    </row>
    <row r="19" ht="18" customHeight="1" s="28">
      <c r="A19" s="44" t="inlineStr">
        <is>
          <t>V16.5</t>
        </is>
      </c>
      <c r="B19" s="44" t="inlineStr">
        <is>
          <t>Error Handling</t>
        </is>
      </c>
      <c r="C19" s="44" t="n"/>
      <c r="D19" s="44" t="n"/>
      <c r="E19" s="44" t="n"/>
      <c r="F19" s="44" t="n"/>
      <c r="G19" s="44" t="n"/>
      <c r="H19" s="44" t="n"/>
    </row>
    <row r="20" ht="30" customHeight="1" s="28">
      <c r="A20" s="45" t="inlineStr">
        <is>
          <t>V16.5</t>
        </is>
      </c>
      <c r="B20" s="45" t="inlineStr">
        <is>
          <t>Error Handling</t>
        </is>
      </c>
      <c r="C20" s="46" t="inlineStr">
        <is>
          <t>V16.5.1</t>
        </is>
      </c>
      <c r="D20" s="47" t="inlineStr">
        <is>
          <t>Verify that a generic message is returned to the consumer when an unexpected or security-sensitive error occurs, ensuring no exposure of sensitive internal system data such as stack traces, queries, secret keys, and tokens.</t>
        </is>
      </c>
      <c r="E20" s="48" t="n">
        <v>2</v>
      </c>
      <c r="F20" s="49" t="inlineStr">
        <is>
          <t>Compliant</t>
        </is>
      </c>
      <c r="G20" s="47" t="inlineStr">
        <is>
          <t>Explicitly covered by Deliveries documentation with direct ASVS traceability (design-phase evidence). Residual risk: Implementation verification is still pending for Phase 2 execution.</t>
        </is>
      </c>
      <c r="H20" s="47" t="inlineStr">
        <is>
          <t>Deliveries/Phase1/traceability-matrix.md (Section 3, traceability matrix, TM-026)</t>
        </is>
      </c>
    </row>
    <row r="21" ht="30" customHeight="1" s="28">
      <c r="A21" s="50" t="inlineStr">
        <is>
          <t>V16.5</t>
        </is>
      </c>
      <c r="B21" s="50" t="inlineStr">
        <is>
          <t>Error Handling</t>
        </is>
      </c>
      <c r="C21" s="51" t="inlineStr">
        <is>
          <t>V16.5.2</t>
        </is>
      </c>
      <c r="D21" s="52" t="inlineStr">
        <is>
          <t>Verify that the application continues to operate securely when external resource access fails, for example, by using patterns such as circuit breakers or graceful degradation.</t>
        </is>
      </c>
      <c r="E21" s="48" t="n">
        <v>2</v>
      </c>
      <c r="F21" s="49" t="inlineStr">
        <is>
          <t>Compliant</t>
        </is>
      </c>
      <c r="G21" s="52" t="inlineStr">
        <is>
          <t>Explicitly covered by Deliveries documentation with direct ASVS traceability (design-phase evidence). Residual risk: Implementation verification is still pending for Phase 2 execution.</t>
        </is>
      </c>
      <c r="H21" s="52" t="inlineStr">
        <is>
          <t>backend/src/main/java/com/desofs/project/audit/services/AuditService.java; backend/src/main/java/com/desofs/project/audit/repositories/AuditRepositoryImpl.java; backend/src/main/java/com/desofs/project/shared/controller/GlobalExceptionHandler.java; backend/src/main/java/com/desofs/project/config/JwtAuthenticationFilter.java</t>
        </is>
      </c>
    </row>
    <row r="22" ht="30" customHeight="1" s="28">
      <c r="A22" s="45" t="inlineStr">
        <is>
          <t>V16.5</t>
        </is>
      </c>
      <c r="B22" s="45" t="inlineStr">
        <is>
          <t>Error Handling</t>
        </is>
      </c>
      <c r="C22" s="46" t="inlineStr">
        <is>
          <t>V16.5.3</t>
        </is>
      </c>
      <c r="D22" s="47" t="inlineStr">
        <is>
          <t>Verify that the application fails gracefully and securely, including when an exception occurs, preventing fail-open conditions such as processing a transaction despite errors resulting from validation logic.</t>
        </is>
      </c>
      <c r="E22" s="48" t="n">
        <v>2</v>
      </c>
      <c r="F22" s="49" t="inlineStr">
        <is>
          <t>Compliant</t>
        </is>
      </c>
      <c r="G22" s="47" t="inlineStr">
        <is>
          <t>Explicitly covered by Deliveries documentation with direct ASVS traceability (design-phase evidence). Residual risk: Implementation verification is still pending for Phase 2 execution.</t>
        </is>
      </c>
      <c r="H22" s="47" t="inlineStr">
        <is>
          <t>backend/src/main/java/com/desofs/project/audit/services/AuditService.java; backend/src/main/java/com/desofs/project/audit/repositories/AuditRepositoryImpl.java; backend/src/main/java/com/desofs/project/shared/controller/GlobalExceptionHandler.java; backend/src/main/java/com/desofs/project/config/JwtAuthenticationFilter.java</t>
        </is>
      </c>
    </row>
    <row r="23" ht="30" customHeight="1" s="28">
      <c r="A23" s="50" t="inlineStr">
        <is>
          <t>V16.5</t>
        </is>
      </c>
      <c r="B23" s="50" t="inlineStr">
        <is>
          <t>Error Handling</t>
        </is>
      </c>
      <c r="C23" s="51" t="inlineStr">
        <is>
          <t>V16.5.4</t>
        </is>
      </c>
      <c r="D23" s="52" t="inlineStr">
        <is>
          <t>Verify that a "last resort" error handler is defined which will catch all unhandled exceptions. This is both to avoid losing error details that must go to log files and to ensure that an error does not take down the entire application process, leading to a loss of availability.</t>
        </is>
      </c>
      <c r="E23" s="54" t="n">
        <v>3</v>
      </c>
      <c r="F23" s="49" t="inlineStr">
        <is>
          <t>Compliant</t>
        </is>
      </c>
      <c r="G23" s="52" t="inlineStr">
        <is>
          <t>Explicitly covered by Deliveries documentation with direct ASVS traceability (design-phase evidence). Residual risk: Implementation verification is still pending for Phase 2 execution.</t>
        </is>
      </c>
      <c r="H23" s="52" t="inlineStr">
        <is>
          <t>Deliveries/Phase1/traceability-matrix.md (Section 3, traceability matrix, TM-026)</t>
        </is>
      </c>
    </row>
  </sheetData>
  <conditionalFormatting sqref="F2:F23">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23"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AC16"/>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V17.1</t>
        </is>
      </c>
      <c r="B2" s="44" t="inlineStr">
        <is>
          <t>TURN Server</t>
        </is>
      </c>
      <c r="C2" s="44" t="n"/>
      <c r="D2" s="44" t="n"/>
      <c r="E2" s="44" t="n"/>
      <c r="F2" s="44" t="n"/>
      <c r="G2" s="44" t="n"/>
      <c r="H2" s="44" t="n"/>
    </row>
    <row r="3" ht="30" customHeight="1" s="28">
      <c r="A3" s="45" t="inlineStr">
        <is>
          <t>V17.1</t>
        </is>
      </c>
      <c r="B3" s="45" t="inlineStr">
        <is>
          <t>TURN Server</t>
        </is>
      </c>
      <c r="C3" s="46" t="inlineStr">
        <is>
          <t>V17.1.1</t>
        </is>
      </c>
      <c r="D3" s="47" t="inlineStr">
        <is>
          <t>Verify that the Traversal Using Relays around NAT (TURN) service only allows access to IP addresses that are not reserved for special purposes (e.g., internal networks, broadcast, loopback). Note that this applies to both IPv4 and IPv6 addresses.</t>
        </is>
      </c>
      <c r="E3" s="48" t="n">
        <v>2</v>
      </c>
      <c r="F3" s="49" t="inlineStr">
        <is>
          <t>Not Applicable</t>
        </is>
      </c>
      <c r="G3" s="47" t="inlineStr">
        <is>
          <t>No WebRTC component or flow is documented in the Phase 1 architecture scope. Residual risk: Reassess if solution scope expands beyond backend REST APIs.</t>
        </is>
      </c>
      <c r="H3" s="47" t="inlineStr">
        <is>
          <t>Deliveries/Phase1/secure-architecture-and-ddr.md (Section: Phase 1 - Secure Architecture and Design Decision Records &gt; 1. Target Architecture Overview)</t>
        </is>
      </c>
    </row>
    <row r="4" ht="30" customHeight="1" s="28">
      <c r="A4" s="50" t="inlineStr">
        <is>
          <t>V17.1</t>
        </is>
      </c>
      <c r="B4" s="50" t="inlineStr">
        <is>
          <t>TURN Server</t>
        </is>
      </c>
      <c r="C4" s="51" t="inlineStr">
        <is>
          <t>V17.1.2</t>
        </is>
      </c>
      <c r="D4" s="52" t="inlineStr">
        <is>
          <t>Verify that the Traversal Using Relays around NAT (TURN) service is not susceptible to resource exhaustion when legitimate users attempt to open a large number of ports on the TURN server.</t>
        </is>
      </c>
      <c r="E4" s="54" t="n">
        <v>3</v>
      </c>
      <c r="F4" s="49" t="inlineStr">
        <is>
          <t>Not Applicable</t>
        </is>
      </c>
      <c r="G4" s="52" t="inlineStr">
        <is>
          <t>No WebRTC component or flow is documented in the Phase 1 architecture scope. Residual risk: Reassess if solution scope expands beyond backend REST APIs.</t>
        </is>
      </c>
      <c r="H4" s="52" t="inlineStr">
        <is>
          <t>Deliveries/Phase1/secure-architecture-and-ddr.md (Section: Phase 1 - Secure Architecture and Design Decision Records &gt; 1. Target Architecture Overview)</t>
        </is>
      </c>
    </row>
    <row r="5" ht="18" customHeight="1" s="28">
      <c r="A5" s="44" t="inlineStr">
        <is>
          <t>V17.2</t>
        </is>
      </c>
      <c r="B5" s="44" t="inlineStr">
        <is>
          <t>Media</t>
        </is>
      </c>
      <c r="C5" s="44" t="n"/>
      <c r="D5" s="44" t="n"/>
      <c r="E5" s="44" t="n"/>
      <c r="F5" s="44" t="n"/>
      <c r="G5" s="44" t="n"/>
      <c r="H5" s="44" t="n"/>
    </row>
    <row r="6" ht="30" customHeight="1" s="28">
      <c r="A6" s="45" t="inlineStr">
        <is>
          <t>V17.2</t>
        </is>
      </c>
      <c r="B6" s="45" t="inlineStr">
        <is>
          <t>Media</t>
        </is>
      </c>
      <c r="C6" s="46" t="inlineStr">
        <is>
          <t>V17.2.1</t>
        </is>
      </c>
      <c r="D6" s="47" t="inlineStr">
        <is>
          <t>Verify that the key for the Datagram Transport Layer Security (DTLS) certificate is managed and protected based on the documented policy for management of cryptographic keys.</t>
        </is>
      </c>
      <c r="E6" s="48" t="n">
        <v>2</v>
      </c>
      <c r="F6" s="49" t="inlineStr">
        <is>
          <t>Not Applicable</t>
        </is>
      </c>
      <c r="G6" s="47" t="inlineStr">
        <is>
          <t>No WebRTC component or flow is documented in the Phase 1 architecture scope. Residual risk: Reassess if solution scope expands beyond backend REST APIs.</t>
        </is>
      </c>
      <c r="H6" s="47" t="inlineStr">
        <is>
          <t>Deliveries/Phase1/secure-architecture-and-ddr.md (Section: Phase 1 - Secure Architecture and Design Decision Records &gt; 1. Target Architecture Overview)</t>
        </is>
      </c>
    </row>
    <row r="7" ht="30" customHeight="1" s="28">
      <c r="A7" s="50" t="inlineStr">
        <is>
          <t>V17.2</t>
        </is>
      </c>
      <c r="B7" s="50" t="inlineStr">
        <is>
          <t>Media</t>
        </is>
      </c>
      <c r="C7" s="51" t="inlineStr">
        <is>
          <t>V17.2.2</t>
        </is>
      </c>
      <c r="D7" s="52" t="inlineStr">
        <is>
          <t>Verify that the media server is configured to use and support approved Datagram Transport Layer Security (DTLS) cipher suites and a secure protection profile for the DTLS Extension for establishing keys for the Secure Real-time Transport Protocol (DTLS-SRTP).</t>
        </is>
      </c>
      <c r="E7" s="48" t="n">
        <v>2</v>
      </c>
      <c r="F7" s="49" t="inlineStr">
        <is>
          <t>Not Applicable</t>
        </is>
      </c>
      <c r="G7" s="52" t="inlineStr">
        <is>
          <t>No WebRTC component or flow is documented in the Phase 1 architecture scope. Residual risk: Reassess if solution scope expands beyond backend REST APIs.</t>
        </is>
      </c>
      <c r="H7" s="52" t="inlineStr">
        <is>
          <t>Deliveries/Phase1/secure-architecture-and-ddr.md (Section: Phase 1 - Secure Architecture and Design Decision Records &gt; 1. Target Architecture Overview)</t>
        </is>
      </c>
    </row>
    <row r="8" ht="30" customHeight="1" s="28">
      <c r="A8" s="45" t="inlineStr">
        <is>
          <t>V17.2</t>
        </is>
      </c>
      <c r="B8" s="45" t="inlineStr">
        <is>
          <t>Media</t>
        </is>
      </c>
      <c r="C8" s="46" t="inlineStr">
        <is>
          <t>V17.2.3</t>
        </is>
      </c>
      <c r="D8" s="47" t="inlineStr">
        <is>
          <t>Verify that Secure Real-time Transport Protocol (SRTP) authentication is checked at the media server to prevent Real-time Transport Protocol (RTP) injection attacks from leading to either a Denial of Service condition or audio or video media insertion into media streams.</t>
        </is>
      </c>
      <c r="E8" s="48" t="n">
        <v>2</v>
      </c>
      <c r="F8" s="49" t="inlineStr">
        <is>
          <t>Not Applicable</t>
        </is>
      </c>
      <c r="G8" s="47" t="inlineStr">
        <is>
          <t>No WebRTC component or flow is documented in the Phase 1 architecture scope. Residual risk: Reassess if solution scope expands beyond backend REST APIs.</t>
        </is>
      </c>
      <c r="H8" s="47" t="inlineStr">
        <is>
          <t>Deliveries/Phase1/secure-architecture-and-ddr.md (Section: Phase 1 - Secure Architecture and Design Decision Records &gt; 1. Target Architecture Overview)</t>
        </is>
      </c>
    </row>
    <row r="9" ht="30" customHeight="1" s="28">
      <c r="A9" s="50" t="inlineStr">
        <is>
          <t>V17.2</t>
        </is>
      </c>
      <c r="B9" s="50" t="inlineStr">
        <is>
          <t>Media</t>
        </is>
      </c>
      <c r="C9" s="51" t="inlineStr">
        <is>
          <t>V17.2.4</t>
        </is>
      </c>
      <c r="D9" s="52" t="inlineStr">
        <is>
          <t>Verify that the media server is able to continue processing incoming media traffic when encountering malformed Secure Real-time Transport Protocol (SRTP) packets.</t>
        </is>
      </c>
      <c r="E9" s="48" t="n">
        <v>2</v>
      </c>
      <c r="F9" s="49" t="inlineStr">
        <is>
          <t>Not Applicable</t>
        </is>
      </c>
      <c r="G9" s="52" t="inlineStr">
        <is>
          <t>No WebRTC component or flow is documented in the Phase 1 architecture scope. Residual risk: Reassess if solution scope expands beyond backend REST APIs.</t>
        </is>
      </c>
      <c r="H9" s="52" t="inlineStr">
        <is>
          <t>Deliveries/Phase1/secure-architecture-and-ddr.md (Section: Phase 1 - Secure Architecture and Design Decision Records &gt; 1. Target Architecture Overview)</t>
        </is>
      </c>
    </row>
    <row r="10" ht="30" customHeight="1" s="28">
      <c r="A10" s="45" t="inlineStr">
        <is>
          <t>V17.2</t>
        </is>
      </c>
      <c r="B10" s="45" t="inlineStr">
        <is>
          <t>Media</t>
        </is>
      </c>
      <c r="C10" s="46" t="inlineStr">
        <is>
          <t>V17.2.5</t>
        </is>
      </c>
      <c r="D10" s="47" t="inlineStr">
        <is>
          <t>Verify that the media server is able to continue processing incoming media traffic during a flood of Secure Real-time Transport Protocol (SRTP) packets from legitimate users.</t>
        </is>
      </c>
      <c r="E10" s="54" t="n">
        <v>3</v>
      </c>
      <c r="F10" s="49" t="inlineStr">
        <is>
          <t>Not Applicable</t>
        </is>
      </c>
      <c r="G10" s="47" t="inlineStr">
        <is>
          <t>No WebRTC component or flow is documented in the Phase 1 architecture scope. Residual risk: Reassess if solution scope expands beyond backend REST APIs.</t>
        </is>
      </c>
      <c r="H10" s="47" t="inlineStr">
        <is>
          <t>Deliveries/Phase1/secure-architecture-and-ddr.md (Section: Phase 1 - Secure Architecture and Design Decision Records &gt; 1. Target Architecture Overview)</t>
        </is>
      </c>
    </row>
    <row r="11" ht="30" customHeight="1" s="28">
      <c r="A11" s="50" t="inlineStr">
        <is>
          <t>V17.2</t>
        </is>
      </c>
      <c r="B11" s="50" t="inlineStr">
        <is>
          <t>Media</t>
        </is>
      </c>
      <c r="C11" s="51" t="inlineStr">
        <is>
          <t>V17.2.6</t>
        </is>
      </c>
      <c r="D11" s="52" t="inlineStr">
        <is>
          <t>Verify that the media server is not susceptible to the "ClientHello" Race Condition vulnerability in Datagram Transport Layer Security (DTLS) by checking if the media server is publicly known to be vulnerable or by performing the race condition test.</t>
        </is>
      </c>
      <c r="E11" s="54" t="n">
        <v>3</v>
      </c>
      <c r="F11" s="49" t="inlineStr">
        <is>
          <t>Not Applicable</t>
        </is>
      </c>
      <c r="G11" s="52" t="inlineStr">
        <is>
          <t>No WebRTC component or flow is documented in the Phase 1 architecture scope. Residual risk: Reassess if solution scope expands beyond backend REST APIs.</t>
        </is>
      </c>
      <c r="H11" s="52" t="inlineStr">
        <is>
          <t>Deliveries/Phase1/secure-architecture-and-ddr.md (Section: Phase 1 - Secure Architecture and Design Decision Records &gt; 1. Target Architecture Overview)</t>
        </is>
      </c>
    </row>
    <row r="12" ht="30" customHeight="1" s="28">
      <c r="A12" s="45" t="inlineStr">
        <is>
          <t>V17.2</t>
        </is>
      </c>
      <c r="B12" s="45" t="inlineStr">
        <is>
          <t>Media</t>
        </is>
      </c>
      <c r="C12" s="46" t="inlineStr">
        <is>
          <t>V17.2.7</t>
        </is>
      </c>
      <c r="D12" s="47" t="inlineStr">
        <is>
          <t>Verify that any audio or video recording mechanisms associated with the media server are able to continue processing incoming media traffic during a flood of Secure Real-time Transport Protocol (SRTP) packets from legitimate users.</t>
        </is>
      </c>
      <c r="E12" s="54" t="n">
        <v>3</v>
      </c>
      <c r="F12" s="49" t="inlineStr">
        <is>
          <t>Not Applicable</t>
        </is>
      </c>
      <c r="G12" s="47" t="inlineStr">
        <is>
          <t>No WebRTC component or flow is documented in the Phase 1 architecture scope. Residual risk: Reassess if solution scope expands beyond backend REST APIs.</t>
        </is>
      </c>
      <c r="H12" s="47" t="inlineStr">
        <is>
          <t>Deliveries/Phase1/secure-architecture-and-ddr.md (Section: Phase 1 - Secure Architecture and Design Decision Records &gt; 1. Target Architecture Overview)</t>
        </is>
      </c>
    </row>
    <row r="13" ht="30" customHeight="1" s="28">
      <c r="A13" s="50" t="inlineStr">
        <is>
          <t>V17.2</t>
        </is>
      </c>
      <c r="B13" s="50" t="inlineStr">
        <is>
          <t>Media</t>
        </is>
      </c>
      <c r="C13" s="51" t="inlineStr">
        <is>
          <t>V17.2.8</t>
        </is>
      </c>
      <c r="D13" s="52" t="inlineStr">
        <is>
          <t>Verify that the Datagram Transport Layer Security (DTLS) certificate is checked against the Session Description Protocol (SDP) fingerprint attribute, terminating the media stream if the check fails, to ensure the authenticity of the media stream.</t>
        </is>
      </c>
      <c r="E13" s="54" t="n">
        <v>3</v>
      </c>
      <c r="F13" s="49" t="inlineStr">
        <is>
          <t>Not Applicable</t>
        </is>
      </c>
      <c r="G13" s="52" t="inlineStr">
        <is>
          <t>No WebRTC component or flow is documented in the Phase 1 architecture scope. Residual risk: Reassess if solution scope expands beyond backend REST APIs.</t>
        </is>
      </c>
      <c r="H13" s="52" t="inlineStr">
        <is>
          <t>Deliveries/Phase1/secure-architecture-and-ddr.md (Section: Phase 1 - Secure Architecture and Design Decision Records &gt; 1. Target Architecture Overview)</t>
        </is>
      </c>
    </row>
    <row r="14" ht="18" customHeight="1" s="28">
      <c r="A14" s="44" t="inlineStr">
        <is>
          <t>V17.3</t>
        </is>
      </c>
      <c r="B14" s="44" t="inlineStr">
        <is>
          <t>Signaling</t>
        </is>
      </c>
      <c r="C14" s="44" t="n"/>
      <c r="D14" s="44" t="n"/>
      <c r="E14" s="44" t="n"/>
      <c r="F14" s="44" t="n"/>
      <c r="G14" s="44" t="n"/>
      <c r="H14" s="44" t="n"/>
    </row>
    <row r="15" ht="30" customHeight="1" s="28">
      <c r="A15" s="45" t="inlineStr">
        <is>
          <t>V17.3</t>
        </is>
      </c>
      <c r="B15" s="45" t="inlineStr">
        <is>
          <t>Signaling</t>
        </is>
      </c>
      <c r="C15" s="46" t="inlineStr">
        <is>
          <t>V17.3.1</t>
        </is>
      </c>
      <c r="D15" s="47" t="inlineStr">
        <is>
          <t>Verify that the signaling server is able to continue processing legitimate incoming signaling messages during a flood attack. This should be achieved by implementing rate limiting at the signaling level.</t>
        </is>
      </c>
      <c r="E15" s="48" t="n">
        <v>2</v>
      </c>
      <c r="F15" s="49" t="inlineStr">
        <is>
          <t>Not Applicable</t>
        </is>
      </c>
      <c r="G15" s="47" t="inlineStr">
        <is>
          <t>No WebRTC component or flow is documented in the Phase 1 architecture scope. Residual risk: Reassess if solution scope expands beyond backend REST APIs.</t>
        </is>
      </c>
      <c r="H15" s="47" t="inlineStr">
        <is>
          <t>Deliveries/Phase1/secure-architecture-and-ddr.md (Section: Phase 1 - Secure Architecture and Design Decision Records &gt; 1. Target Architecture Overview)</t>
        </is>
      </c>
    </row>
    <row r="16" ht="30" customHeight="1" s="28">
      <c r="A16" s="50" t="inlineStr">
        <is>
          <t>V17.3</t>
        </is>
      </c>
      <c r="B16" s="50" t="inlineStr">
        <is>
          <t>Signaling</t>
        </is>
      </c>
      <c r="C16" s="51" t="inlineStr">
        <is>
          <t>V17.3.2</t>
        </is>
      </c>
      <c r="D16" s="52" t="inlineStr">
        <is>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is>
      </c>
      <c r="E16" s="48" t="n">
        <v>2</v>
      </c>
      <c r="F16" s="49" t="inlineStr">
        <is>
          <t>Not Applicable</t>
        </is>
      </c>
      <c r="G16" s="52" t="inlineStr">
        <is>
          <t>No WebRTC component or flow is documented in the Phase 1 architecture scope. Residual risk: Reassess if solution scope expands beyond backend REST APIs.</t>
        </is>
      </c>
      <c r="H16" s="52" t="inlineStr">
        <is>
          <t>Deliveries/Phase1/secure-architecture-and-ddr.md (Section: Phase 1 - Secure Architecture and Design Decision Records &gt; 1. Target Architecture Overview)</t>
        </is>
      </c>
    </row>
  </sheetData>
  <conditionalFormatting sqref="F2:F16">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16"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pt-PT</dc:language>
  <dcterms:created xsi:type="dcterms:W3CDTF">2026-03-04T10:14:28Z</dcterms:created>
  <dcterms:modified xsi:type="dcterms:W3CDTF">2026-05-18T21:58:45Z</dcterms:modified>
  <cp:revision>3</cp:revision>
</cp:coreProperties>
</file>

<file path=docProps/custom.xml><?xml version="1.0" encoding="utf-8"?>
<Properties xmlns:vt="http://schemas.openxmlformats.org/officeDocument/2006/docPropsVTypes" xmlns="http://schemas.openxmlformats.org/officeDocument/2006/custom-properties">
  <property name="AppVersion" fmtid="{D5CDD505-2E9C-101B-9397-08002B2CF9AE}" pid="2">
    <vt:lpwstr>3.1</vt:lpwstr>
  </property>
</Properties>
</file>